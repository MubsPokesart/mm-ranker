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78 East" sheetId="1" r:id="rId5"/>
    <sheet state="visible" name="Draft 78 South" sheetId="2" r:id="rId6"/>
    <sheet state="visible" name="Draft 78 West" sheetId="3" r:id="rId7"/>
    <sheet state="visible" name="Draft 78 Midwest" sheetId="4" r:id="rId8"/>
  </sheets>
  <definedNames/>
  <calcPr/>
</workbook>
</file>

<file path=xl/sharedStrings.xml><?xml version="1.0" encoding="utf-8"?>
<sst xmlns="http://schemas.openxmlformats.org/spreadsheetml/2006/main" count="1408" uniqueCount="442">
  <si>
    <t>Arizona Wildcats</t>
  </si>
  <si>
    <t>Year</t>
  </si>
  <si>
    <t>Hawaii Rainbow Warriors</t>
  </si>
  <si>
    <t>Washington Huskies</t>
  </si>
  <si>
    <t>Queens Royals</t>
  </si>
  <si>
    <t>Steve Nash</t>
  </si>
  <si>
    <t>06-07</t>
  </si>
  <si>
    <t>Mike Conley</t>
  </si>
  <si>
    <t>16-17</t>
  </si>
  <si>
    <t>Michael Jordan</t>
  </si>
  <si>
    <t>90-91</t>
  </si>
  <si>
    <t>LeBron James</t>
  </si>
  <si>
    <t>12-13</t>
  </si>
  <si>
    <t>Joe Dumars</t>
  </si>
  <si>
    <t>Jerry West</t>
  </si>
  <si>
    <t>67-68</t>
  </si>
  <si>
    <t>Scottie Pippen</t>
  </si>
  <si>
    <t>93-94</t>
  </si>
  <si>
    <t>Danny Green</t>
  </si>
  <si>
    <t>14-15</t>
  </si>
  <si>
    <t>Larry Bird</t>
  </si>
  <si>
    <t>85-86</t>
  </si>
  <si>
    <t>Billy Cunningham</t>
  </si>
  <si>
    <t>69-70</t>
  </si>
  <si>
    <t>Rick Barry</t>
  </si>
  <si>
    <t>74-75</t>
  </si>
  <si>
    <t>Jimmy Butler</t>
  </si>
  <si>
    <t>Gus Johnson</t>
  </si>
  <si>
    <t>Kevin Garnett</t>
  </si>
  <si>
    <t>03-04</t>
  </si>
  <si>
    <t>Karl-Anthony Towns</t>
  </si>
  <si>
    <t>24-25</t>
  </si>
  <si>
    <t>Bob McAdoo</t>
  </si>
  <si>
    <t>Patrick Ewing</t>
  </si>
  <si>
    <t>89-90</t>
  </si>
  <si>
    <t>Moses Malone</t>
  </si>
  <si>
    <t>82-83</t>
  </si>
  <si>
    <t>Marc Gasol</t>
  </si>
  <si>
    <t>Artis Gilmore</t>
  </si>
  <si>
    <t>Mookie Blaylock</t>
  </si>
  <si>
    <t>96-97</t>
  </si>
  <si>
    <t>Danny Ainge</t>
  </si>
  <si>
    <t>87-88</t>
  </si>
  <si>
    <t>Kenny Anderson</t>
  </si>
  <si>
    <t>Terrell Brandon</t>
  </si>
  <si>
    <t>95-96</t>
  </si>
  <si>
    <t>Phil Smith</t>
  </si>
  <si>
    <t>75-76</t>
  </si>
  <si>
    <t>Kendall Gill</t>
  </si>
  <si>
    <t>Tyrese Maxey</t>
  </si>
  <si>
    <t>23-24</t>
  </si>
  <si>
    <t>Kentavious Caldwell-Pope</t>
  </si>
  <si>
    <t>22-23</t>
  </si>
  <si>
    <t>Walter Davis</t>
  </si>
  <si>
    <t>78-79</t>
  </si>
  <si>
    <t>Robert Covington</t>
  </si>
  <si>
    <t>17-18</t>
  </si>
  <si>
    <t>Dick Van Arsdale</t>
  </si>
  <si>
    <t>Steve Smith</t>
  </si>
  <si>
    <t>97-98</t>
  </si>
  <si>
    <t>Jamaal Wilkes</t>
  </si>
  <si>
    <t>79-80</t>
  </si>
  <si>
    <t>LaMarcus Aldridge</t>
  </si>
  <si>
    <t>Bob Pettit</t>
  </si>
  <si>
    <t>58-59</t>
  </si>
  <si>
    <t>Danilo Gallinari</t>
  </si>
  <si>
    <t>18-19</t>
  </si>
  <si>
    <t>Darryl Dawkins</t>
  </si>
  <si>
    <t>80-81</t>
  </si>
  <si>
    <t>Kristaps Porzingis</t>
  </si>
  <si>
    <t>Robert Williams III</t>
  </si>
  <si>
    <t>21-22</t>
  </si>
  <si>
    <t>Alvan Adams</t>
  </si>
  <si>
    <t>Tennessee Volunteers</t>
  </si>
  <si>
    <t>Wright State Raiders</t>
  </si>
  <si>
    <t>UCLA Bruins</t>
  </si>
  <si>
    <t>Michigan Wolverines</t>
  </si>
  <si>
    <t>Russell Westbrook</t>
  </si>
  <si>
    <t>Kyrie Irving</t>
  </si>
  <si>
    <t>20-21</t>
  </si>
  <si>
    <t>Isiah Thomas</t>
  </si>
  <si>
    <t>84-85</t>
  </si>
  <si>
    <t>Kyle Lowry</t>
  </si>
  <si>
    <t>Klay Thompson</t>
  </si>
  <si>
    <t>15-16</t>
  </si>
  <si>
    <t>Kobe Bryant</t>
  </si>
  <si>
    <t>02-03</t>
  </si>
  <si>
    <t>Reggie Miller</t>
  </si>
  <si>
    <t>Devin Booker</t>
  </si>
  <si>
    <t>Kawhi Leonard</t>
  </si>
  <si>
    <t>Khris Middleton</t>
  </si>
  <si>
    <t>19-20</t>
  </si>
  <si>
    <t>John Havlicek</t>
  </si>
  <si>
    <t>70-71</t>
  </si>
  <si>
    <t>Clyde Drexler</t>
  </si>
  <si>
    <t>91-92</t>
  </si>
  <si>
    <t>Chet Holmgren</t>
  </si>
  <si>
    <t>Bobby Jones</t>
  </si>
  <si>
    <t>76-77</t>
  </si>
  <si>
    <t>Chris Bosh</t>
  </si>
  <si>
    <t>Kevin Durant</t>
  </si>
  <si>
    <t>Joel Embiid</t>
  </si>
  <si>
    <t>Victor Wembanyama</t>
  </si>
  <si>
    <t>Kareem Abdul-Jabbar</t>
  </si>
  <si>
    <t>Alonzo Mourning</t>
  </si>
  <si>
    <t>99-00</t>
  </si>
  <si>
    <t>Kemba Walker</t>
  </si>
  <si>
    <t>Sam Cassell</t>
  </si>
  <si>
    <t>Fat Lever</t>
  </si>
  <si>
    <t>Doc Rivers</t>
  </si>
  <si>
    <t>Kirk Hinrich</t>
  </si>
  <si>
    <t>Doug Christie</t>
  </si>
  <si>
    <t>Jason Terry</t>
  </si>
  <si>
    <t>Paul Westphal</t>
  </si>
  <si>
    <t>Scottie Barnes</t>
  </si>
  <si>
    <t>Boris Diaw</t>
  </si>
  <si>
    <t>05-06</t>
  </si>
  <si>
    <t>Roger Brown</t>
  </si>
  <si>
    <t>Josh Howard</t>
  </si>
  <si>
    <t>Connie Hawkins</t>
  </si>
  <si>
    <t>Gerald Wallace</t>
  </si>
  <si>
    <t>09-10</t>
  </si>
  <si>
    <t>Jerome Kersey</t>
  </si>
  <si>
    <t>Paolo Banchero</t>
  </si>
  <si>
    <t>Ivica Zubac</t>
  </si>
  <si>
    <t>Brad Miller</t>
  </si>
  <si>
    <t>Arvydas Sabonis</t>
  </si>
  <si>
    <t>Antonio McDyess</t>
  </si>
  <si>
    <t>Santa Clara Broncos</t>
  </si>
  <si>
    <t>Georgia Tech Yellow Jackets</t>
  </si>
  <si>
    <t>SMU Mustangs</t>
  </si>
  <si>
    <t>VCU Rams</t>
  </si>
  <si>
    <t>Mark Price</t>
  </si>
  <si>
    <t>Stephen Curry</t>
  </si>
  <si>
    <t>Magic Johnson</t>
  </si>
  <si>
    <t>86-87</t>
  </si>
  <si>
    <t>Gary Payton</t>
  </si>
  <si>
    <t>Penny Hardaway</t>
  </si>
  <si>
    <t>Wesley Matthews</t>
  </si>
  <si>
    <t>Jeff Hornacek</t>
  </si>
  <si>
    <t>Bradley Beal</t>
  </si>
  <si>
    <t>OG Anunoby</t>
  </si>
  <si>
    <t>Chet Walker</t>
  </si>
  <si>
    <t>71-72</t>
  </si>
  <si>
    <t>Bob Dandridge</t>
  </si>
  <si>
    <t>Jayson Tatum</t>
  </si>
  <si>
    <t>Anthony Davis</t>
  </si>
  <si>
    <t>Charles Barkley</t>
  </si>
  <si>
    <t>92-93</t>
  </si>
  <si>
    <t>Andrei Kirilenko</t>
  </si>
  <si>
    <t>Paul Millsap</t>
  </si>
  <si>
    <t>Willis Reed</t>
  </si>
  <si>
    <t>Bill Walton</t>
  </si>
  <si>
    <t>77-78</t>
  </si>
  <si>
    <t>David Robinson</t>
  </si>
  <si>
    <t>94-95</t>
  </si>
  <si>
    <t>Hakeem Olajuwon</t>
  </si>
  <si>
    <t>Jamal Murray</t>
  </si>
  <si>
    <t>Ja Morant</t>
  </si>
  <si>
    <t>George Hill</t>
  </si>
  <si>
    <t>Baron Davis</t>
  </si>
  <si>
    <t>Jon McGlocklin</t>
  </si>
  <si>
    <t>Randy Smith</t>
  </si>
  <si>
    <t>Mike Miller</t>
  </si>
  <si>
    <t>Latrell Sprewell</t>
  </si>
  <si>
    <t>Nicolas Batum</t>
  </si>
  <si>
    <t>13-14</t>
  </si>
  <si>
    <t>Glen Rice</t>
  </si>
  <si>
    <t>Scott Wedman</t>
  </si>
  <si>
    <t>Franz Wagner</t>
  </si>
  <si>
    <t>Herb Jones</t>
  </si>
  <si>
    <t>Sean Elliot</t>
  </si>
  <si>
    <t>Sam Perkins</t>
  </si>
  <si>
    <t>Spencer Haywood</t>
  </si>
  <si>
    <t>72-73</t>
  </si>
  <si>
    <t>Tyson Chandler</t>
  </si>
  <si>
    <t>11-12</t>
  </si>
  <si>
    <t>Ben Wallace</t>
  </si>
  <si>
    <t>Yao Ming</t>
  </si>
  <si>
    <t>Andrew Bogut</t>
  </si>
  <si>
    <t>BYU Cougars</t>
  </si>
  <si>
    <t>Gonzaga Bulldogs</t>
  </si>
  <si>
    <t>Siena Saints</t>
  </si>
  <si>
    <t>Michigan State Spartans</t>
  </si>
  <si>
    <t>Dwyane Wade</t>
  </si>
  <si>
    <t>08-09</t>
  </si>
  <si>
    <t>Luka Doncic</t>
  </si>
  <si>
    <t>John Stockton</t>
  </si>
  <si>
    <t>Chris Paul</t>
  </si>
  <si>
    <t>Derrick White</t>
  </si>
  <si>
    <t>Paul George</t>
  </si>
  <si>
    <t>Tracy McGrady</t>
  </si>
  <si>
    <t>Reggie Lewis</t>
  </si>
  <si>
    <t>Jaylen Brown</t>
  </si>
  <si>
    <t>Peja Stojakovic</t>
  </si>
  <si>
    <t>Julius Erving</t>
  </si>
  <si>
    <t>Gordon Hayward</t>
  </si>
  <si>
    <t>Shawn Kemp</t>
  </si>
  <si>
    <t>Tim Duncan</t>
  </si>
  <si>
    <t>Larry Nance Sr.</t>
  </si>
  <si>
    <t>Horace Grant</t>
  </si>
  <si>
    <t>Nikola Jokic</t>
  </si>
  <si>
    <t>Rudy Gobert</t>
  </si>
  <si>
    <t>Jack Sikma</t>
  </si>
  <si>
    <t>81-82</t>
  </si>
  <si>
    <t>Shaquille O'Neal</t>
  </si>
  <si>
    <t>Isaiah Thomas</t>
  </si>
  <si>
    <t>Trae Young</t>
  </si>
  <si>
    <t>Tiny Archibald</t>
  </si>
  <si>
    <t>De'Aaron Fox</t>
  </si>
  <si>
    <t>Joe Harris</t>
  </si>
  <si>
    <t>Richie Guerin</t>
  </si>
  <si>
    <t>61-62</t>
  </si>
  <si>
    <t>Kerry Kittles</t>
  </si>
  <si>
    <t>01-02</t>
  </si>
  <si>
    <t>Michael Redd</t>
  </si>
  <si>
    <t>Michael Porter Jr.</t>
  </si>
  <si>
    <t>Bob Love</t>
  </si>
  <si>
    <t>Kyle Korver</t>
  </si>
  <si>
    <t>Elgin Baylor</t>
  </si>
  <si>
    <t>62-63</t>
  </si>
  <si>
    <t>Josh Smith</t>
  </si>
  <si>
    <t>Detlef Schrempf</t>
  </si>
  <si>
    <t>David West</t>
  </si>
  <si>
    <t>Hedo Turkoglu</t>
  </si>
  <si>
    <t>07-08</t>
  </si>
  <si>
    <t>Bo Outlaw</t>
  </si>
  <si>
    <t>Serge Ibaka</t>
  </si>
  <si>
    <t>Wes Unseld</t>
  </si>
  <si>
    <t>68-69</t>
  </si>
  <si>
    <t>Brook Lopez</t>
  </si>
  <si>
    <t>Tennessee State Tigers</t>
  </si>
  <si>
    <t>Georgia Bulldogs</t>
  </si>
  <si>
    <t>North Carolina Tar Heels</t>
  </si>
  <si>
    <t>Villanova Wildcats</t>
  </si>
  <si>
    <t>Walt Frazier</t>
  </si>
  <si>
    <t>Terry Porter</t>
  </si>
  <si>
    <t>Ron Harper</t>
  </si>
  <si>
    <t>88-89</t>
  </si>
  <si>
    <t>George Gervin</t>
  </si>
  <si>
    <t>Dan Majerle</t>
  </si>
  <si>
    <t>Dirk Nowitzki</t>
  </si>
  <si>
    <t>Nate Thurmond</t>
  </si>
  <si>
    <t>John Wall</t>
  </si>
  <si>
    <t>Sleepy Floyd</t>
  </si>
  <si>
    <t>LaMelo Ball</t>
  </si>
  <si>
    <t>Byron Scott</t>
  </si>
  <si>
    <t>Zach LaVine</t>
  </si>
  <si>
    <t>Sam Jones</t>
  </si>
  <si>
    <t>64-65</t>
  </si>
  <si>
    <t>Shane Battier</t>
  </si>
  <si>
    <t>Brent Barry</t>
  </si>
  <si>
    <t>Richard Jefferson</t>
  </si>
  <si>
    <t>Terry Cummings</t>
  </si>
  <si>
    <t>Derrick Coleman</t>
  </si>
  <si>
    <t>Elton Brand</t>
  </si>
  <si>
    <t>Steven Adams</t>
  </si>
  <si>
    <t>Dikembe Mutombo</t>
  </si>
  <si>
    <t>Brad Daugherty</t>
  </si>
  <si>
    <t>TCU Horned Frogs</t>
  </si>
  <si>
    <t>Notre Dame Fighting Irish</t>
  </si>
  <si>
    <t>Virginia Cavaliers</t>
  </si>
  <si>
    <t>Kennesaw State Owls</t>
  </si>
  <si>
    <t>Tim Hardaway Sr.</t>
  </si>
  <si>
    <t>Damian Lillard</t>
  </si>
  <si>
    <t>James Harden</t>
  </si>
  <si>
    <t>Mitch Richmond</t>
  </si>
  <si>
    <t>Donovan Mitchell</t>
  </si>
  <si>
    <t>Jalen Williams</t>
  </si>
  <si>
    <t>Anthony Edwards</t>
  </si>
  <si>
    <t>Alex English</t>
  </si>
  <si>
    <t>83-84</t>
  </si>
  <si>
    <t>Karl Malone</t>
  </si>
  <si>
    <t>Bill Russell</t>
  </si>
  <si>
    <t>Dwight Howard</t>
  </si>
  <si>
    <t>10-11</t>
  </si>
  <si>
    <t>Maurice Cheeks</t>
  </si>
  <si>
    <t>Fred VanVleet</t>
  </si>
  <si>
    <t>Andrew Wiggins</t>
  </si>
  <si>
    <t>Lonzo Ball</t>
  </si>
  <si>
    <t>Otis Birdsong</t>
  </si>
  <si>
    <t>Carmelo Anthony</t>
  </si>
  <si>
    <t>Jason Richardson</t>
  </si>
  <si>
    <t>Tom Chambers</t>
  </si>
  <si>
    <t>Domantas Sabonis</t>
  </si>
  <si>
    <t>Walt Bellamy</t>
  </si>
  <si>
    <t>Nene</t>
  </si>
  <si>
    <t>Furman Paladins</t>
  </si>
  <si>
    <t>Hofstra Pride</t>
  </si>
  <si>
    <t>Miami Hurricanes</t>
  </si>
  <si>
    <t>Clemson Tigers</t>
  </si>
  <si>
    <t>Kevin Johnson</t>
  </si>
  <si>
    <t>Chauncey Billups</t>
  </si>
  <si>
    <t>Marques Johnson</t>
  </si>
  <si>
    <t>60-61</t>
  </si>
  <si>
    <t>Michael Finley</t>
  </si>
  <si>
    <t>Jaren Jackson Jr.</t>
  </si>
  <si>
    <t>Wilt Chamberlain</t>
  </si>
  <si>
    <t>66-67</t>
  </si>
  <si>
    <t>Rajon Rondo</t>
  </si>
  <si>
    <t>Jameer Nelson</t>
  </si>
  <si>
    <t>Goran Dragic</t>
  </si>
  <si>
    <t>Bobby Phills</t>
  </si>
  <si>
    <t>Earl Monroe</t>
  </si>
  <si>
    <t>Billy Knight</t>
  </si>
  <si>
    <t>Marvin Williams</t>
  </si>
  <si>
    <t>Jermaine O'Neal</t>
  </si>
  <si>
    <t>Jarrett Allen</t>
  </si>
  <si>
    <t>Isaiah Hartenstein</t>
  </si>
  <si>
    <t>Florida Gators</t>
  </si>
  <si>
    <t>Oregon Ducks</t>
  </si>
  <si>
    <t>Cornell Big Red</t>
  </si>
  <si>
    <t>Texas Tech Red Raiders</t>
  </si>
  <si>
    <t>Jason Kidd</t>
  </si>
  <si>
    <t>Shai Gilgeous-Alexander</t>
  </si>
  <si>
    <t>Chris Mullin</t>
  </si>
  <si>
    <t>Eddie Jones</t>
  </si>
  <si>
    <t>Joe Johnson</t>
  </si>
  <si>
    <t>Chris Webber</t>
  </si>
  <si>
    <t>Evan Mobley</t>
  </si>
  <si>
    <t>Gilbert Arenas</t>
  </si>
  <si>
    <t>Mo Williams</t>
  </si>
  <si>
    <t>Jerry Sloan</t>
  </si>
  <si>
    <t>Ricky Pierce</t>
  </si>
  <si>
    <t>Jalen Suggs</t>
  </si>
  <si>
    <t>Bryon Russell</t>
  </si>
  <si>
    <t>Greg Ballard</t>
  </si>
  <si>
    <t>Robert Horry</t>
  </si>
  <si>
    <t>Theo Ratliff</t>
  </si>
  <si>
    <t>00-01</t>
  </si>
  <si>
    <t>Zelmo Beaty</t>
  </si>
  <si>
    <t>Clifford Ray</t>
  </si>
  <si>
    <t>73-74</t>
  </si>
  <si>
    <t>Louisville Cardinals</t>
  </si>
  <si>
    <t>St Mary's Gaels</t>
  </si>
  <si>
    <t>Western Kentucky Hilltoppers</t>
  </si>
  <si>
    <t>Arkansas Razorbacks</t>
  </si>
  <si>
    <t>David Thompson</t>
  </si>
  <si>
    <t>Paul Pierce</t>
  </si>
  <si>
    <t>Bernard King</t>
  </si>
  <si>
    <t>Blake Griffin</t>
  </si>
  <si>
    <t>Bob Lanier</t>
  </si>
  <si>
    <t>Cade Cunningham</t>
  </si>
  <si>
    <t>Gus Williams</t>
  </si>
  <si>
    <t>Phil Chenier</t>
  </si>
  <si>
    <t>Buddy Hield</t>
  </si>
  <si>
    <t>Chuck Person</t>
  </si>
  <si>
    <t>Larry Kenon</t>
  </si>
  <si>
    <t>Sidney Wicks</t>
  </si>
  <si>
    <t>Ralph Sampson</t>
  </si>
  <si>
    <t>Kevin McHale</t>
  </si>
  <si>
    <t>Penn Quakers</t>
  </si>
  <si>
    <t>UConn Huskies</t>
  </si>
  <si>
    <t>UMBC Retrievers</t>
  </si>
  <si>
    <t>Miami RedHawks</t>
  </si>
  <si>
    <t>Sidney Moncrief</t>
  </si>
  <si>
    <t>Brandon Roy</t>
  </si>
  <si>
    <t>Ray Allen</t>
  </si>
  <si>
    <t>Danny Granger</t>
  </si>
  <si>
    <t>Tony Allen</t>
  </si>
  <si>
    <t>Dale Ellis</t>
  </si>
  <si>
    <t>Dominique Wilkins</t>
  </si>
  <si>
    <t>Caron Butler</t>
  </si>
  <si>
    <t>Iowa State Cyclones</t>
  </si>
  <si>
    <t>Illinois Fighting Illini</t>
  </si>
  <si>
    <t>Kansas Jayhawks</t>
  </si>
  <si>
    <t>Cleveland State Vikings</t>
  </si>
  <si>
    <t>Tyrese Haliburton</t>
  </si>
  <si>
    <t>Derek Harper</t>
  </si>
  <si>
    <t>Robert Parish</t>
  </si>
  <si>
    <t>Dennis Johnson</t>
  </si>
  <si>
    <t>Arron Afflalo</t>
  </si>
  <si>
    <t>John Starks</t>
  </si>
  <si>
    <t>Richard Hamilton</t>
  </si>
  <si>
    <t>Bobby Simmons</t>
  </si>
  <si>
    <t>04-05</t>
  </si>
  <si>
    <t>PJ Brown</t>
  </si>
  <si>
    <t>Vlade Divac</t>
  </si>
  <si>
    <t>South Florida Bulls</t>
  </si>
  <si>
    <t>Vanderbilt Commodores</t>
  </si>
  <si>
    <t>Texas Longhorns</t>
  </si>
  <si>
    <t>St. John's Red Storm</t>
  </si>
  <si>
    <t>Derrick Rose</t>
  </si>
  <si>
    <t>Ron Artest</t>
  </si>
  <si>
    <t>Mikal Bridges</t>
  </si>
  <si>
    <t>Rasheed Wallace</t>
  </si>
  <si>
    <t>Steve Francis</t>
  </si>
  <si>
    <t>Fred Brown</t>
  </si>
  <si>
    <t>Brian Taylor</t>
  </si>
  <si>
    <t>Lou Hudson</t>
  </si>
  <si>
    <t>Zion Williamson</t>
  </si>
  <si>
    <t>Dave DeBusschere</t>
  </si>
  <si>
    <t>Maurice Lucas</t>
  </si>
  <si>
    <t>Rik Smits</t>
  </si>
  <si>
    <t>Maryland Terrapins</t>
  </si>
  <si>
    <t>Purdue Boilermakers</t>
  </si>
  <si>
    <t>Lehigh Mountain Hawks</t>
  </si>
  <si>
    <t>UCF Knights</t>
  </si>
  <si>
    <t>Dennis Rodman</t>
  </si>
  <si>
    <t>Grant Hill</t>
  </si>
  <si>
    <t>Al Horford</t>
  </si>
  <si>
    <t>Charlie Ward</t>
  </si>
  <si>
    <t>Gary Harris</t>
  </si>
  <si>
    <t>Zach Lavine</t>
  </si>
  <si>
    <t>DeMar DeRozan</t>
  </si>
  <si>
    <t>Amen Thompson</t>
  </si>
  <si>
    <t>Elvin Hayes</t>
  </si>
  <si>
    <t>Saint Louis Billikens</t>
  </si>
  <si>
    <t>High Point Panthers</t>
  </si>
  <si>
    <t>LIU Sharks</t>
  </si>
  <si>
    <t>Houston Cougars</t>
  </si>
  <si>
    <t>Giannis Antetokounmpo</t>
  </si>
  <si>
    <t>Pascal Siakam</t>
  </si>
  <si>
    <t>Draymond Green</t>
  </si>
  <si>
    <t>Rolando Blackman</t>
  </si>
  <si>
    <t>Derek Anderson</t>
  </si>
  <si>
    <t>Rodney McCray</t>
  </si>
  <si>
    <t>Nikola Vucevic</t>
  </si>
  <si>
    <t>Myles Turner</t>
  </si>
  <si>
    <t>DeAndre Jordan</t>
  </si>
  <si>
    <t>Arizona State Sun Devils</t>
  </si>
  <si>
    <t>Wisconsin Badgers</t>
  </si>
  <si>
    <t>Duke Blue Devils</t>
  </si>
  <si>
    <t>Alabama Crimson Tide</t>
  </si>
  <si>
    <t>Marcus Smart</t>
  </si>
  <si>
    <t>Pete Maravich</t>
  </si>
  <si>
    <t>Jamal Mashburn</t>
  </si>
  <si>
    <t>Derrick McKey</t>
  </si>
  <si>
    <t>Dorian Finney-Smith</t>
  </si>
  <si>
    <t>Clifford Robinson</t>
  </si>
  <si>
    <t>Aaron Gordon</t>
  </si>
  <si>
    <t>Danny Manning</t>
  </si>
  <si>
    <t>Kentucky Wildcats</t>
  </si>
  <si>
    <t>Texas A&amp;M Aggies</t>
  </si>
  <si>
    <t>Ohio State Buckeyes</t>
  </si>
  <si>
    <t>Iowa Hawkeyes</t>
  </si>
  <si>
    <t>Micheal Williams</t>
  </si>
  <si>
    <t>Gail Goodrich</t>
  </si>
  <si>
    <t>Alvin Robertson</t>
  </si>
  <si>
    <t>Buck Williams</t>
  </si>
  <si>
    <t>Andrew Bynum</t>
  </si>
  <si>
    <t>Kevin Love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</si>
</sst>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4">
    <font>
      <sz val="10.0"/>
      <color rgb="FF000000"/>
      <name val="Arial"/>
      <scheme val="minor"/>
    </font>
    <font>
      <b/>
      <sz val="12.0"/>
      <color rgb="FFCC0033"/>
      <name val="Fira Sans"/>
    </font>
    <font>
      <b/>
      <sz val="12.0"/>
      <color rgb="FFC8C8C8"/>
      <name val="Fira Sans"/>
    </font>
    <font>
      <b/>
      <sz val="12.0"/>
      <color rgb="FFB7A57A"/>
      <name val="Fira Sans"/>
    </font>
    <font>
      <b/>
      <sz val="12.0"/>
      <color rgb="FFC9BB8C"/>
      <name val="Fira Sans"/>
    </font>
    <font>
      <sz val="11.0"/>
      <color rgb="FFF3F3F3"/>
      <name val="Fira Sans"/>
    </font>
    <font>
      <sz val="11.0"/>
      <color rgb="FFCC0033"/>
      <name val="Fira Sans"/>
    </font>
    <font>
      <sz val="11.0"/>
      <color rgb="FFC8C8C8"/>
      <name val="Fira Sans"/>
    </font>
    <font>
      <sz val="11.0"/>
      <color rgb="FFB7A57A"/>
      <name val="Fira Sans"/>
    </font>
    <font>
      <sz val="11.0"/>
      <color rgb="FFC9BB8C"/>
      <name val="Fira Sans"/>
    </font>
    <font>
      <b/>
      <sz val="12.0"/>
      <color theme="0"/>
      <name val="Fira Sans"/>
    </font>
    <font>
      <b/>
      <sz val="12.0"/>
      <color rgb="FFFFE1A5"/>
      <name val="Fira Sans"/>
    </font>
    <font>
      <b/>
      <sz val="12.0"/>
      <color rgb="FFFFE800"/>
      <name val="Fira Sans"/>
    </font>
    <font>
      <b/>
      <sz val="12.0"/>
      <color rgb="FF00274C"/>
      <name val="Fira Sans"/>
    </font>
    <font>
      <sz val="11.0"/>
      <color rgb="FFFFFFFF"/>
      <name val="Fira Sans"/>
    </font>
    <font>
      <sz val="11.0"/>
      <color rgb="FFFFE1A5"/>
      <name val="Fira Sans"/>
    </font>
    <font>
      <sz val="11.0"/>
      <color rgb="FFFFE800"/>
      <name val="Fira Sans"/>
    </font>
    <font>
      <sz val="11.0"/>
      <color rgb="FF00274C"/>
      <name val="Fira Sans"/>
    </font>
    <font>
      <sz val="11.0"/>
      <color theme="0"/>
      <name val="Fira Sans"/>
    </font>
    <font>
      <b/>
      <sz val="11.0"/>
      <color rgb="FF003057"/>
      <name val="Fira Sans"/>
    </font>
    <font>
      <b/>
      <sz val="12.0"/>
      <color rgb="FF003057"/>
      <name val="Fira Sans"/>
    </font>
    <font>
      <b/>
      <sz val="12.0"/>
      <color rgb="FFC8102E"/>
      <name val="Fira Sans"/>
    </font>
    <font>
      <b/>
      <sz val="12.0"/>
      <color theme="1"/>
      <name val="Fira Sans"/>
    </font>
    <font>
      <sz val="11.0"/>
      <color rgb="FF003057"/>
      <name val="Fira Sans"/>
    </font>
    <font>
      <sz val="11.0"/>
      <color rgb="FFC8102E"/>
      <name val="Fira Sans"/>
    </font>
    <font>
      <sz val="11.0"/>
      <color theme="1"/>
      <name val="Fira Sans"/>
    </font>
    <font>
      <b/>
      <sz val="12.0"/>
      <color rgb="FF041E42"/>
      <name val="Fira Sans"/>
    </font>
    <font>
      <b/>
      <sz val="12.0"/>
      <color rgb="FF38761D"/>
      <name val="Fira Sans"/>
    </font>
    <font>
      <sz val="11.0"/>
      <color rgb="FF041E42"/>
      <name val="Fira Sans"/>
    </font>
    <font>
      <sz val="11.0"/>
      <color rgb="FF38761D"/>
      <name val="Fira Sans"/>
    </font>
    <font>
      <color theme="1"/>
      <name val="Arial"/>
    </font>
    <font>
      <b/>
      <sz val="12.0"/>
      <color rgb="FF13B5EA"/>
      <name val="Fira Sans"/>
    </font>
    <font>
      <sz val="11.0"/>
      <color rgb="FF13B5EA"/>
      <name val="Fira Sans"/>
    </font>
    <font>
      <b/>
      <sz val="12.0"/>
      <color rgb="FFC99700"/>
      <name val="Fira Sans"/>
    </font>
    <font>
      <b/>
      <sz val="12.0"/>
      <color rgb="FF232D4B"/>
      <name val="Fira Sans"/>
    </font>
    <font>
      <sz val="11.0"/>
      <color rgb="FFC99700"/>
      <name val="Fira Sans"/>
    </font>
    <font>
      <sz val="11.0"/>
      <color rgb="FF232D4B"/>
      <name val="Fira Sans"/>
    </font>
    <font>
      <color rgb="FFC99700"/>
      <name val="Arial"/>
    </font>
    <font>
      <b/>
      <sz val="12.0"/>
      <color rgb="FFA7A8AA"/>
      <name val="Fira Sans"/>
    </font>
    <font>
      <b/>
      <sz val="12.0"/>
      <color rgb="FF005030"/>
      <name val="Fira Sans"/>
    </font>
    <font>
      <b/>
      <sz val="12.0"/>
      <color rgb="FF522D80"/>
      <name val="Fira Sans"/>
    </font>
    <font>
      <sz val="11.0"/>
      <color rgb="FFA7A8AA"/>
      <name val="Fira Sans"/>
    </font>
    <font>
      <sz val="11.0"/>
      <color rgb="FF005030"/>
      <name val="Fira Sans"/>
    </font>
    <font>
      <sz val="11.0"/>
      <color rgb="FF522D80"/>
      <name val="Fira Sans"/>
    </font>
    <font>
      <color rgb="FFA7A8AA"/>
      <name val="Fira Sans"/>
    </font>
    <font>
      <b/>
      <sz val="12.0"/>
      <color rgb="FFFA4616"/>
      <name val="Fira Sans"/>
    </font>
    <font>
      <b/>
      <sz val="12.0"/>
      <color rgb="FFFEE123"/>
      <name val="Fira Sans"/>
    </font>
    <font>
      <sz val="11.0"/>
      <color rgb="FFFA4616"/>
      <name val="Fira Sans"/>
    </font>
    <font>
      <sz val="11.0"/>
      <color rgb="FFFEE123"/>
      <name val="Fira Sans"/>
    </font>
    <font>
      <b/>
      <sz val="12.0"/>
      <color rgb="FFF1C232"/>
      <name val="Fira Sans"/>
    </font>
    <font>
      <b/>
      <sz val="12.0"/>
      <color rgb="FF06315B"/>
      <name val="Fira Sans"/>
    </font>
    <font>
      <b/>
      <sz val="11.0"/>
      <color theme="0"/>
      <name val="Fira Sans"/>
    </font>
    <font>
      <sz val="11.0"/>
      <color rgb="FFF1C232"/>
      <name val="Fira Sans"/>
    </font>
    <font>
      <sz val="11.0"/>
      <color rgb="FF06315B"/>
      <name val="Fira Sans"/>
    </font>
    <font>
      <b/>
      <sz val="12.0"/>
      <color rgb="FF000E2F"/>
      <name val="Fira Sans"/>
    </font>
    <font>
      <sz val="11.0"/>
      <color rgb="FF000E2F"/>
      <name val="Fira Sans"/>
    </font>
    <font>
      <b/>
      <sz val="12.0"/>
      <color rgb="FFF1BE48"/>
      <name val="Fira Sans"/>
    </font>
    <font>
      <b/>
      <sz val="12.0"/>
      <color rgb="FFE84A27"/>
      <name val="Fira Sans"/>
    </font>
    <font>
      <b/>
      <sz val="12.0"/>
      <color rgb="FFFFC82D"/>
      <name val="Fira Sans"/>
    </font>
    <font>
      <b/>
      <sz val="12.0"/>
      <color rgb="FFFFFFFF"/>
      <name val="Fira Sans"/>
    </font>
    <font>
      <sz val="11.0"/>
      <color rgb="FFF1BE48"/>
      <name val="Fira Sans"/>
    </font>
    <font>
      <sz val="11.0"/>
      <color rgb="FFE84A27"/>
      <name val="Fira Sans"/>
    </font>
    <font>
      <sz val="11.0"/>
      <color rgb="FFFFC82D"/>
      <name val="Fira Sans"/>
    </font>
    <font>
      <b/>
      <sz val="12.0"/>
      <color rgb="FFCFC493"/>
      <name val="Fira Sans"/>
    </font>
    <font>
      <b/>
      <sz val="12.0"/>
      <color rgb="FF866D4B"/>
      <name val="Fira Sans"/>
    </font>
    <font>
      <b/>
      <sz val="12.0"/>
      <color rgb="FF041C2C"/>
      <name val="Fira Sans"/>
    </font>
    <font>
      <sz val="11.0"/>
      <color rgb="FFCFC493"/>
      <name val="Fira Sans"/>
    </font>
    <font>
      <sz val="11.0"/>
      <color rgb="FF041C2C"/>
      <name val="Fira Sans"/>
    </font>
    <font>
      <b/>
      <sz val="12.0"/>
      <color rgb="FFFFD520"/>
      <name val="Fira Sans"/>
    </font>
    <font>
      <b/>
      <sz val="12.0"/>
      <color rgb="FFFFD24F"/>
      <name val="Fira Sans"/>
    </font>
    <font>
      <b/>
      <sz val="12.0"/>
      <color rgb="FFBA9B37"/>
      <name val="Fira Sans"/>
    </font>
    <font>
      <sz val="11.0"/>
      <color rgb="FFFFD520"/>
      <name val="Fira Sans"/>
    </font>
    <font>
      <sz val="11.0"/>
      <color rgb="FFFFD24F"/>
      <name val="Fira Sans"/>
    </font>
    <font>
      <sz val="11.0"/>
      <color rgb="FFBA9B37"/>
      <name val="Fira Sans"/>
    </font>
  </fonts>
  <fills count="61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024731"/>
        <bgColor rgb="FF024731"/>
      </patternFill>
    </fill>
    <fill>
      <patternFill patternType="solid">
        <fgColor rgb="FF4B2E83"/>
        <bgColor rgb="FF4B2E83"/>
      </patternFill>
    </fill>
    <fill>
      <patternFill patternType="solid">
        <fgColor rgb="FF192C66"/>
        <bgColor rgb="FF192C66"/>
      </patternFill>
    </fill>
    <fill>
      <patternFill patternType="solid">
        <fgColor rgb="FFFF8200"/>
        <bgColor rgb="FFFF8200"/>
      </patternFill>
    </fill>
    <fill>
      <patternFill patternType="solid">
        <fgColor rgb="FF026937"/>
        <bgColor rgb="FF026937"/>
      </patternFill>
    </fill>
    <fill>
      <patternFill patternType="solid">
        <fgColor rgb="FF3284BF"/>
        <bgColor rgb="FF3284BF"/>
      </patternFill>
    </fill>
    <fill>
      <patternFill patternType="solid">
        <fgColor rgb="FFFFCB05"/>
        <bgColor rgb="FFFFCB05"/>
      </patternFill>
    </fill>
    <fill>
      <patternFill patternType="solid">
        <fgColor rgb="FF862633"/>
        <bgColor rgb="FF862633"/>
      </patternFill>
    </fill>
    <fill>
      <patternFill patternType="solid">
        <fgColor rgb="FFB3A369"/>
        <bgColor rgb="FFB3A369"/>
      </patternFill>
    </fill>
    <fill>
      <patternFill patternType="solid">
        <fgColor rgb="FF0033A0"/>
        <bgColor rgb="FF0033A0"/>
      </patternFill>
    </fill>
    <fill>
      <patternFill patternType="solid">
        <fgColor rgb="FFFFB300"/>
        <bgColor rgb="FFFFB300"/>
      </patternFill>
    </fill>
    <fill>
      <patternFill patternType="solid">
        <fgColor rgb="FF002E5D"/>
        <bgColor rgb="FF002E5D"/>
      </patternFill>
    </fill>
    <fill>
      <patternFill patternType="solid">
        <fgColor rgb="FFC1C6C8"/>
        <bgColor rgb="FFC1C6C8"/>
      </patternFill>
    </fill>
    <fill>
      <patternFill patternType="solid">
        <fgColor rgb="FFFFC72C"/>
        <bgColor rgb="FFFFC72C"/>
      </patternFill>
    </fill>
    <fill>
      <patternFill patternType="solid">
        <fgColor rgb="FF18453B"/>
        <bgColor rgb="FF18453B"/>
      </patternFill>
    </fill>
    <fill>
      <patternFill patternType="solid">
        <fgColor rgb="FF00539F"/>
        <bgColor rgb="FF00539F"/>
      </patternFill>
    </fill>
    <fill>
      <patternFill patternType="solid">
        <fgColor rgb="FFBA0C2F"/>
        <bgColor rgb="FFBA0C2F"/>
      </patternFill>
    </fill>
    <fill>
      <patternFill patternType="solid">
        <fgColor rgb="FF7BAFD4"/>
        <bgColor rgb="FF7BAFD4"/>
      </patternFill>
    </fill>
    <fill>
      <patternFill patternType="solid">
        <fgColor rgb="FF00205B"/>
        <bgColor rgb="FF00205B"/>
      </patternFill>
    </fill>
    <fill>
      <patternFill patternType="solid">
        <fgColor rgb="FF4D1979"/>
        <bgColor rgb="FF4D1979"/>
      </patternFill>
    </fill>
    <fill>
      <patternFill patternType="solid">
        <fgColor rgb="FF0C2340"/>
        <bgColor rgb="FF0C2340"/>
      </patternFill>
    </fill>
    <fill>
      <patternFill patternType="solid">
        <fgColor rgb="FFF84C1E"/>
        <bgColor rgb="FFF84C1E"/>
      </patternFill>
    </fill>
    <fill>
      <patternFill patternType="solid">
        <fgColor rgb="FFFDBB30"/>
        <bgColor rgb="FFFDBB30"/>
      </patternFill>
    </fill>
    <fill>
      <patternFill patternType="solid">
        <fgColor rgb="FF582C83"/>
        <bgColor rgb="FF582C83"/>
      </patternFill>
    </fill>
    <fill>
      <patternFill patternType="solid">
        <fgColor rgb="FF0B1E73"/>
        <bgColor rgb="FF0B1E73"/>
      </patternFill>
    </fill>
    <fill>
      <patternFill patternType="solid">
        <fgColor rgb="FFF47321"/>
        <bgColor rgb="FFF47321"/>
      </patternFill>
    </fill>
    <fill>
      <patternFill patternType="solid">
        <fgColor rgb="FFF56600"/>
        <bgColor rgb="FFF56600"/>
      </patternFill>
    </fill>
    <fill>
      <patternFill patternType="solid">
        <fgColor rgb="FF0021A5"/>
        <bgColor rgb="FF0021A5"/>
      </patternFill>
    </fill>
    <fill>
      <patternFill patternType="solid">
        <fgColor rgb="FF154733"/>
        <bgColor rgb="FF154733"/>
      </patternFill>
    </fill>
    <fill>
      <patternFill patternType="solid">
        <fgColor rgb="FFB31B1B"/>
        <bgColor rgb="FFB31B1B"/>
      </patternFill>
    </fill>
    <fill>
      <patternFill patternType="solid">
        <fgColor rgb="FFCC0000"/>
        <bgColor rgb="FFCC0000"/>
      </patternFill>
    </fill>
    <fill>
      <patternFill patternType="solid">
        <fgColor rgb="FFAD0000"/>
        <bgColor rgb="FFAD0000"/>
      </patternFill>
    </fill>
    <fill>
      <patternFill patternType="solid">
        <fgColor rgb="FFD80024"/>
        <bgColor rgb="FFD80024"/>
      </patternFill>
    </fill>
    <fill>
      <patternFill patternType="solid">
        <fgColor rgb="FFC60C30"/>
        <bgColor rgb="FFC60C30"/>
      </patternFill>
    </fill>
    <fill>
      <patternFill patternType="solid">
        <fgColor rgb="FF9D2235"/>
        <bgColor rgb="FF9D2235"/>
      </patternFill>
    </fill>
    <fill>
      <patternFill patternType="solid">
        <fgColor rgb="FF011F5B"/>
        <bgColor rgb="FF011F5B"/>
      </patternFill>
    </fill>
    <fill>
      <patternFill patternType="solid">
        <fgColor rgb="FF7C878E"/>
        <bgColor rgb="FF7C878E"/>
      </patternFill>
    </fill>
    <fill>
      <patternFill patternType="solid">
        <fgColor rgb="FFFFC20E"/>
        <bgColor rgb="FFFFC20E"/>
      </patternFill>
    </fill>
    <fill>
      <patternFill patternType="solid">
        <fgColor rgb="FFB61E2E"/>
        <bgColor rgb="FFB61E2E"/>
      </patternFill>
    </fill>
    <fill>
      <patternFill patternType="solid">
        <fgColor rgb="FF13294B"/>
        <bgColor rgb="FF13294B"/>
      </patternFill>
    </fill>
    <fill>
      <patternFill patternType="solid">
        <fgColor rgb="FF0051BA"/>
        <bgColor rgb="FF0051BA"/>
      </patternFill>
    </fill>
    <fill>
      <patternFill patternType="solid">
        <fgColor rgb="FF006747"/>
        <bgColor rgb="FF006747"/>
      </patternFill>
    </fill>
    <fill>
      <patternFill patternType="solid">
        <fgColor theme="1"/>
        <bgColor theme="1"/>
      </patternFill>
    </fill>
    <fill>
      <patternFill patternType="solid">
        <fgColor rgb="FFBF5700"/>
        <bgColor rgb="FFBF5700"/>
      </patternFill>
    </fill>
    <fill>
      <patternFill patternType="solid">
        <fgColor rgb="FFE03A3E"/>
        <bgColor rgb="FFE03A3E"/>
      </patternFill>
    </fill>
    <fill>
      <patternFill patternType="solid">
        <fgColor rgb="FFCEB888"/>
        <bgColor rgb="FFCEB888"/>
      </patternFill>
    </fill>
    <fill>
      <patternFill patternType="solid">
        <fgColor rgb="FF653600"/>
        <bgColor rgb="FF653600"/>
      </patternFill>
    </fill>
    <fill>
      <patternFill patternType="solid">
        <fgColor rgb="FF003DA5"/>
        <bgColor rgb="FF003DA5"/>
      </patternFill>
    </fill>
    <fill>
      <patternFill patternType="solid">
        <fgColor rgb="FF330072"/>
        <bgColor rgb="FF330072"/>
      </patternFill>
    </fill>
    <fill>
      <patternFill patternType="solid">
        <fgColor rgb="FF69B3E7"/>
        <bgColor rgb="FF69B3E7"/>
      </patternFill>
    </fill>
    <fill>
      <patternFill patternType="solid">
        <fgColor rgb="FFC8102E"/>
        <bgColor rgb="FFC8102E"/>
      </patternFill>
    </fill>
    <fill>
      <patternFill patternType="solid">
        <fgColor rgb="FF8C1D40"/>
        <bgColor rgb="FF8C1D40"/>
      </patternFill>
    </fill>
    <fill>
      <patternFill patternType="solid">
        <fgColor rgb="FFC5050C"/>
        <bgColor rgb="FFC5050C"/>
      </patternFill>
    </fill>
    <fill>
      <patternFill patternType="solid">
        <fgColor rgb="FF003087"/>
        <bgColor rgb="FF003087"/>
      </patternFill>
    </fill>
    <fill>
      <patternFill patternType="solid">
        <fgColor rgb="FF9E1B32"/>
        <bgColor rgb="FF9E1B32"/>
      </patternFill>
    </fill>
    <fill>
      <patternFill patternType="solid">
        <fgColor rgb="FF500000"/>
        <bgColor rgb="FF500000"/>
      </patternFill>
    </fill>
    <fill>
      <patternFill patternType="solid">
        <fgColor rgb="FFBB0000"/>
        <bgColor rgb="FFBB0000"/>
      </patternFill>
    </fill>
    <fill>
      <patternFill patternType="solid">
        <fgColor rgb="FFFFCD00"/>
        <bgColor rgb="FFFFCD00"/>
      </patternFill>
    </fill>
  </fills>
  <borders count="1">
    <border/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bottom"/>
    </xf>
    <xf borderId="0" fillId="2" fontId="1" numFmtId="49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3" fontId="2" numFmtId="49" xfId="0" applyAlignment="1" applyFill="1" applyFont="1" applyNumberFormat="1">
      <alignment horizontal="center" readingOrder="0" vertical="bottom"/>
    </xf>
    <xf borderId="0" fillId="3" fontId="2" numFmtId="164" xfId="0" applyAlignment="1" applyFont="1" applyNumberFormat="1">
      <alignment horizontal="center" readingOrder="0" vertical="bottom"/>
    </xf>
    <xf borderId="0" fillId="4" fontId="3" numFmtId="49" xfId="0" applyAlignment="1" applyFill="1" applyFont="1" applyNumberFormat="1">
      <alignment horizontal="center" readingOrder="0" vertical="bottom"/>
    </xf>
    <xf borderId="0" fillId="4" fontId="3" numFmtId="164" xfId="0" applyAlignment="1" applyFont="1" applyNumberFormat="1">
      <alignment horizontal="center" readingOrder="0" vertical="bottom"/>
    </xf>
    <xf borderId="0" fillId="5" fontId="4" numFmtId="49" xfId="0" applyAlignment="1" applyFill="1" applyFont="1" applyNumberFormat="1">
      <alignment horizontal="center" readingOrder="0" vertical="bottom"/>
    </xf>
    <xf borderId="0" fillId="5" fontId="4" numFmtId="49" xfId="0" applyAlignment="1" applyFont="1" applyNumberForma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0" fillId="2" fontId="5" numFmtId="49" xfId="0" applyAlignment="1" applyFont="1" applyNumberFormat="1">
      <alignment horizontal="center" readingOrder="0" vertical="bottom"/>
    </xf>
    <xf borderId="0" fillId="2" fontId="6" numFmtId="164" xfId="0" applyAlignment="1" applyFont="1" applyNumberFormat="1">
      <alignment horizontal="center" readingOrder="0" vertical="bottom"/>
    </xf>
    <xf borderId="0" fillId="3" fontId="7" numFmtId="49" xfId="0" applyAlignment="1" applyFont="1" applyNumberFormat="1">
      <alignment horizontal="center" readingOrder="0" vertical="bottom"/>
    </xf>
    <xf borderId="0" fillId="3" fontId="7" numFmtId="164" xfId="0" applyAlignment="1" applyFont="1" applyNumberFormat="1">
      <alignment horizontal="center" readingOrder="0" vertical="bottom"/>
    </xf>
    <xf borderId="0" fillId="4" fontId="8" numFmtId="49" xfId="0" applyAlignment="1" applyFont="1" applyNumberFormat="1">
      <alignment horizontal="center" vertical="bottom"/>
    </xf>
    <xf borderId="0" fillId="4" fontId="8" numFmtId="164" xfId="0" applyAlignment="1" applyFont="1" applyNumberFormat="1">
      <alignment horizontal="center" vertical="bottom"/>
    </xf>
    <xf borderId="0" fillId="5" fontId="9" numFmtId="49" xfId="0" applyAlignment="1" applyFont="1" applyNumberFormat="1">
      <alignment horizontal="center" readingOrder="0" vertical="bottom"/>
    </xf>
    <xf borderId="0" fillId="5" fontId="9" numFmtId="164" xfId="0" applyAlignment="1" applyFont="1" applyNumberFormat="1">
      <alignment horizontal="center" readingOrder="0" vertical="bottom"/>
    </xf>
    <xf borderId="0" fillId="2" fontId="5" numFmtId="49" xfId="0" applyAlignment="1" applyFont="1" applyNumberFormat="1">
      <alignment horizontal="center" vertical="bottom"/>
    </xf>
    <xf borderId="0" fillId="2" fontId="6" numFmtId="164" xfId="0" applyAlignment="1" applyFont="1" applyNumberFormat="1">
      <alignment horizontal="center" vertical="bottom"/>
    </xf>
    <xf borderId="0" fillId="4" fontId="8" numFmtId="49" xfId="0" applyAlignment="1" applyFont="1" applyNumberFormat="1">
      <alignment horizontal="center" readingOrder="0" vertical="bottom"/>
    </xf>
    <xf borderId="0" fillId="4" fontId="8" numFmtId="164" xfId="0" applyAlignment="1" applyFont="1" applyNumberFormat="1">
      <alignment horizontal="center" readingOrder="0" vertical="bottom"/>
    </xf>
    <xf borderId="0" fillId="6" fontId="10" numFmtId="49" xfId="0" applyAlignment="1" applyFill="1" applyFont="1" applyNumberFormat="1">
      <alignment horizontal="center" readingOrder="0" vertical="bottom"/>
    </xf>
    <xf borderId="0" fillId="6" fontId="10" numFmtId="164" xfId="0" applyAlignment="1" applyFont="1" applyNumberFormat="1">
      <alignment horizontal="center" vertical="bottom"/>
    </xf>
    <xf borderId="0" fillId="7" fontId="11" numFmtId="49" xfId="0" applyAlignment="1" applyFill="1" applyFont="1" applyNumberFormat="1">
      <alignment horizontal="center" readingOrder="0" vertical="bottom"/>
    </xf>
    <xf borderId="0" fillId="7" fontId="11" numFmtId="164" xfId="0" applyAlignment="1" applyFont="1" applyNumberFormat="1">
      <alignment horizontal="center" vertical="bottom"/>
    </xf>
    <xf borderId="0" fillId="8" fontId="12" numFmtId="49" xfId="0" applyAlignment="1" applyFill="1" applyFont="1" applyNumberFormat="1">
      <alignment horizontal="center" readingOrder="0" vertical="bottom"/>
    </xf>
    <xf borderId="0" fillId="8" fontId="12" numFmtId="164" xfId="0" applyAlignment="1" applyFont="1" applyNumberFormat="1">
      <alignment horizontal="center" vertical="bottom"/>
    </xf>
    <xf borderId="0" fillId="9" fontId="13" numFmtId="49" xfId="0" applyAlignment="1" applyFill="1" applyFont="1" applyNumberFormat="1">
      <alignment horizontal="center" readingOrder="0" vertical="bottom"/>
    </xf>
    <xf borderId="0" fillId="9" fontId="13" numFmtId="164" xfId="0" applyAlignment="1" applyFont="1" applyNumberFormat="1">
      <alignment horizontal="center" vertical="bottom"/>
    </xf>
    <xf borderId="0" fillId="6" fontId="14" numFmtId="49" xfId="0" applyAlignment="1" applyFont="1" applyNumberFormat="1">
      <alignment horizontal="center" readingOrder="0" vertical="bottom"/>
    </xf>
    <xf borderId="0" fillId="6" fontId="14" numFmtId="164" xfId="0" applyAlignment="1" applyFont="1" applyNumberFormat="1">
      <alignment horizontal="center" readingOrder="0" vertical="bottom"/>
    </xf>
    <xf borderId="0" fillId="7" fontId="15" numFmtId="49" xfId="0" applyAlignment="1" applyFont="1" applyNumberFormat="1">
      <alignment horizontal="center" readingOrder="0" vertical="bottom"/>
    </xf>
    <xf borderId="0" fillId="7" fontId="15" numFmtId="164" xfId="0" applyAlignment="1" applyFont="1" applyNumberFormat="1">
      <alignment horizontal="center" readingOrder="0" vertical="bottom"/>
    </xf>
    <xf borderId="0" fillId="8" fontId="16" numFmtId="49" xfId="0" applyAlignment="1" applyFont="1" applyNumberFormat="1">
      <alignment horizontal="center" readingOrder="0" vertical="bottom"/>
    </xf>
    <xf borderId="0" fillId="8" fontId="16" numFmtId="164" xfId="0" applyAlignment="1" applyFont="1" applyNumberFormat="1">
      <alignment horizontal="center" readingOrder="0" vertical="bottom"/>
    </xf>
    <xf borderId="0" fillId="9" fontId="17" numFmtId="49" xfId="0" applyAlignment="1" applyFont="1" applyNumberFormat="1">
      <alignment horizontal="center" readingOrder="0" vertical="bottom"/>
    </xf>
    <xf borderId="0" fillId="9" fontId="17" numFmtId="164" xfId="0" applyAlignment="1" applyFont="1" applyNumberFormat="1">
      <alignment horizontal="center" readingOrder="0" vertical="bottom"/>
    </xf>
    <xf borderId="0" fillId="6" fontId="18" numFmtId="49" xfId="0" applyAlignment="1" applyFont="1" applyNumberFormat="1">
      <alignment horizontal="center" readingOrder="0" vertical="bottom"/>
    </xf>
    <xf borderId="0" fillId="6" fontId="18" numFmtId="164" xfId="0" applyAlignment="1" applyFont="1" applyNumberFormat="1">
      <alignment horizontal="center" readingOrder="0" vertical="bottom"/>
    </xf>
    <xf borderId="0" fillId="10" fontId="10" numFmtId="0" xfId="0" applyAlignment="1" applyFill="1" applyFont="1">
      <alignment horizontal="center" readingOrder="0" vertical="bottom"/>
    </xf>
    <xf borderId="0" fillId="10" fontId="10" numFmtId="49" xfId="0" applyAlignment="1" applyFont="1" applyNumberFormat="1">
      <alignment horizontal="center" vertical="bottom"/>
    </xf>
    <xf borderId="0" fillId="10" fontId="10" numFmtId="164" xfId="0" applyAlignment="1" applyFont="1" applyNumberFormat="1">
      <alignment horizontal="center" vertical="bottom"/>
    </xf>
    <xf borderId="0" fillId="11" fontId="19" numFmtId="49" xfId="0" applyAlignment="1" applyFill="1" applyFont="1" applyNumberFormat="1">
      <alignment horizontal="center" readingOrder="0" vertical="bottom"/>
    </xf>
    <xf borderId="0" fillId="11" fontId="20" numFmtId="49" xfId="0" applyAlignment="1" applyFont="1" applyNumberFormat="1">
      <alignment horizontal="center" readingOrder="0" vertical="bottom"/>
    </xf>
    <xf borderId="0" fillId="11" fontId="20" numFmtId="164" xfId="0" applyAlignment="1" applyFont="1" applyNumberFormat="1">
      <alignment horizontal="center" vertical="bottom"/>
    </xf>
    <xf borderId="0" fillId="12" fontId="21" numFmtId="49" xfId="0" applyAlignment="1" applyFill="1" applyFont="1" applyNumberFormat="1">
      <alignment horizontal="center" readingOrder="0" vertical="bottom"/>
    </xf>
    <xf borderId="0" fillId="12" fontId="21" numFmtId="49" xfId="0" applyAlignment="1" applyFont="1" applyNumberFormat="1">
      <alignment horizontal="center" vertical="bottom"/>
    </xf>
    <xf borderId="0" fillId="12" fontId="21" numFmtId="164" xfId="0" applyAlignment="1" applyFont="1" applyNumberFormat="1">
      <alignment horizontal="center" vertical="bottom"/>
    </xf>
    <xf borderId="0" fillId="13" fontId="22" numFmtId="49" xfId="0" applyAlignment="1" applyFill="1" applyFont="1" applyNumberFormat="1">
      <alignment horizontal="center" readingOrder="0" vertical="bottom"/>
    </xf>
    <xf borderId="0" fillId="13" fontId="22" numFmtId="164" xfId="0" applyAlignment="1" applyFont="1" applyNumberFormat="1">
      <alignment horizontal="center" vertical="bottom"/>
    </xf>
    <xf borderId="0" fillId="10" fontId="14" numFmtId="49" xfId="0" applyAlignment="1" applyFont="1" applyNumberFormat="1">
      <alignment horizontal="center" readingOrder="0" vertical="bottom"/>
    </xf>
    <xf borderId="0" fillId="10" fontId="14" numFmtId="164" xfId="0" applyAlignment="1" applyFont="1" applyNumberFormat="1">
      <alignment horizontal="center" readingOrder="0" vertical="bottom"/>
    </xf>
    <xf borderId="0" fillId="11" fontId="23" numFmtId="49" xfId="0" applyAlignment="1" applyFont="1" applyNumberFormat="1">
      <alignment horizontal="center" readingOrder="0" vertical="bottom"/>
    </xf>
    <xf borderId="0" fillId="11" fontId="23" numFmtId="164" xfId="0" applyAlignment="1" applyFont="1" applyNumberFormat="1">
      <alignment horizontal="center" readingOrder="0" vertical="bottom"/>
    </xf>
    <xf borderId="0" fillId="12" fontId="14" numFmtId="49" xfId="0" applyAlignment="1" applyFont="1" applyNumberFormat="1">
      <alignment horizontal="center" readingOrder="0" vertical="bottom"/>
    </xf>
    <xf borderId="0" fillId="12" fontId="24" numFmtId="164" xfId="0" applyAlignment="1" applyFont="1" applyNumberFormat="1">
      <alignment horizontal="center" readingOrder="0" vertical="bottom"/>
    </xf>
    <xf borderId="0" fillId="13" fontId="25" numFmtId="49" xfId="0" applyAlignment="1" applyFont="1" applyNumberFormat="1">
      <alignment horizontal="center" readingOrder="0" vertical="bottom"/>
    </xf>
    <xf borderId="0" fillId="13" fontId="25" numFmtId="164" xfId="0" applyAlignment="1" applyFont="1" applyNumberFormat="1">
      <alignment horizontal="center" readingOrder="0" vertical="bottom"/>
    </xf>
    <xf borderId="0" fillId="10" fontId="18" numFmtId="49" xfId="0" applyAlignment="1" applyFont="1" applyNumberFormat="1">
      <alignment horizontal="center" readingOrder="0" vertical="bottom"/>
    </xf>
    <xf borderId="0" fillId="10" fontId="18" numFmtId="164" xfId="0" applyAlignment="1" applyFont="1" applyNumberFormat="1">
      <alignment horizontal="center" readingOrder="0" vertical="bottom"/>
    </xf>
    <xf borderId="0" fillId="14" fontId="10" numFmtId="49" xfId="0" applyAlignment="1" applyFill="1" applyFont="1" applyNumberFormat="1">
      <alignment horizontal="center" readingOrder="0" vertical="bottom"/>
    </xf>
    <xf borderId="0" fillId="14" fontId="10" numFmtId="164" xfId="0" applyAlignment="1" applyFont="1" applyNumberFormat="1">
      <alignment horizontal="center" vertical="bottom"/>
    </xf>
    <xf borderId="0" fillId="15" fontId="26" numFmtId="49" xfId="0" applyAlignment="1" applyFill="1" applyFont="1" applyNumberFormat="1">
      <alignment horizontal="center" readingOrder="0" vertical="bottom"/>
    </xf>
    <xf borderId="0" fillId="15" fontId="26" numFmtId="164" xfId="0" applyAlignment="1" applyFont="1" applyNumberFormat="1">
      <alignment horizontal="center" vertical="bottom"/>
    </xf>
    <xf borderId="0" fillId="16" fontId="27" numFmtId="49" xfId="0" applyAlignment="1" applyFill="1" applyFont="1" applyNumberFormat="1">
      <alignment horizontal="center" readingOrder="0" vertical="bottom"/>
    </xf>
    <xf borderId="0" fillId="16" fontId="27" numFmtId="49" xfId="0" applyAlignment="1" applyFont="1" applyNumberFormat="1">
      <alignment horizontal="center" vertical="bottom"/>
    </xf>
    <xf borderId="0" fillId="16" fontId="27" numFmtId="164" xfId="0" applyAlignment="1" applyFont="1" applyNumberFormat="1">
      <alignment horizontal="center" vertical="bottom"/>
    </xf>
    <xf borderId="0" fillId="17" fontId="10" numFmtId="49" xfId="0" applyAlignment="1" applyFill="1" applyFont="1" applyNumberFormat="1">
      <alignment horizontal="center" readingOrder="0" vertical="bottom"/>
    </xf>
    <xf borderId="0" fillId="17" fontId="10" numFmtId="164" xfId="0" applyAlignment="1" applyFont="1" applyNumberFormat="1">
      <alignment horizontal="center" vertical="bottom"/>
    </xf>
    <xf borderId="0" fillId="14" fontId="14" numFmtId="49" xfId="0" applyAlignment="1" applyFont="1" applyNumberFormat="1">
      <alignment horizontal="center" vertical="bottom"/>
    </xf>
    <xf borderId="0" fillId="14" fontId="14" numFmtId="164" xfId="0" applyAlignment="1" applyFont="1" applyNumberFormat="1">
      <alignment horizontal="center" vertical="bottom"/>
    </xf>
    <xf borderId="0" fillId="15" fontId="28" numFmtId="49" xfId="0" applyAlignment="1" applyFont="1" applyNumberFormat="1">
      <alignment horizontal="center" readingOrder="0" vertical="bottom"/>
    </xf>
    <xf borderId="0" fillId="15" fontId="28" numFmtId="164" xfId="0" applyAlignment="1" applyFont="1" applyNumberFormat="1">
      <alignment horizontal="center" readingOrder="0" vertical="bottom"/>
    </xf>
    <xf borderId="0" fillId="16" fontId="29" numFmtId="49" xfId="0" applyAlignment="1" applyFont="1" applyNumberFormat="1">
      <alignment horizontal="center" readingOrder="0" vertical="bottom"/>
    </xf>
    <xf borderId="0" fillId="16" fontId="29" numFmtId="164" xfId="0" applyAlignment="1" applyFont="1" applyNumberFormat="1">
      <alignment horizontal="center" readingOrder="0" vertical="bottom"/>
    </xf>
    <xf borderId="0" fillId="17" fontId="14" numFmtId="49" xfId="0" applyAlignment="1" applyFont="1" applyNumberFormat="1">
      <alignment horizontal="center" readingOrder="0" vertical="bottom"/>
    </xf>
    <xf borderId="0" fillId="17" fontId="14" numFmtId="164" xfId="0" applyAlignment="1" applyFont="1" applyNumberFormat="1">
      <alignment horizontal="center" readingOrder="0" vertical="bottom"/>
    </xf>
    <xf borderId="0" fillId="14" fontId="14" numFmtId="49" xfId="0" applyAlignment="1" applyFont="1" applyNumberFormat="1">
      <alignment horizontal="center" readingOrder="0" vertical="bottom"/>
    </xf>
    <xf borderId="0" fillId="14" fontId="14" numFmtId="164" xfId="0" applyAlignment="1" applyFont="1" applyNumberFormat="1">
      <alignment horizontal="center" readingOrder="0" vertical="bottom"/>
    </xf>
    <xf borderId="0" fillId="15" fontId="28" numFmtId="49" xfId="0" applyAlignment="1" applyFont="1" applyNumberFormat="1">
      <alignment horizontal="center" vertical="bottom"/>
    </xf>
    <xf borderId="0" fillId="15" fontId="28" numFmtId="164" xfId="0" applyAlignment="1" applyFont="1" applyNumberFormat="1">
      <alignment horizontal="center" vertical="bottom"/>
    </xf>
    <xf borderId="0" fillId="14" fontId="18" numFmtId="49" xfId="0" applyAlignment="1" applyFont="1" applyNumberFormat="1">
      <alignment horizontal="center" readingOrder="0" vertical="bottom"/>
    </xf>
    <xf borderId="0" fillId="14" fontId="18" numFmtId="164" xfId="0" applyAlignment="1" applyFont="1" applyNumberFormat="1">
      <alignment horizontal="center" readingOrder="0" vertical="bottom"/>
    </xf>
    <xf borderId="0" fillId="17" fontId="18" numFmtId="49" xfId="0" applyAlignment="1" applyFont="1" applyNumberFormat="1">
      <alignment horizontal="center" readingOrder="0" vertical="bottom"/>
    </xf>
    <xf borderId="0" fillId="17" fontId="18" numFmtId="164" xfId="0" applyAlignment="1" applyFont="1" applyNumberFormat="1">
      <alignment horizontal="center" readingOrder="0" vertical="bottom"/>
    </xf>
    <xf borderId="0" fillId="15" fontId="30" numFmtId="49" xfId="0" applyAlignment="1" applyFont="1" applyNumberFormat="1">
      <alignment readingOrder="0" vertical="bottom"/>
    </xf>
    <xf borderId="0" fillId="18" fontId="10" numFmtId="0" xfId="0" applyAlignment="1" applyFill="1" applyFont="1">
      <alignment horizontal="center" readingOrder="0" vertical="bottom"/>
    </xf>
    <xf borderId="0" fillId="18" fontId="10" numFmtId="49" xfId="0" applyAlignment="1" applyFont="1" applyNumberFormat="1">
      <alignment horizontal="center" vertical="bottom"/>
    </xf>
    <xf borderId="0" fillId="18" fontId="10" numFmtId="164" xfId="0" applyAlignment="1" applyFont="1" applyNumberFormat="1">
      <alignment horizontal="center" readingOrder="0" vertical="bottom"/>
    </xf>
    <xf borderId="0" fillId="19" fontId="22" numFmtId="49" xfId="0" applyAlignment="1" applyFill="1" applyFont="1" applyNumberFormat="1">
      <alignment horizontal="center" readingOrder="0" vertical="bottom"/>
    </xf>
    <xf borderId="0" fillId="19" fontId="22" numFmtId="164" xfId="0" applyAlignment="1" applyFont="1" applyNumberFormat="1">
      <alignment horizontal="center" readingOrder="0" vertical="bottom"/>
    </xf>
    <xf borderId="0" fillId="20" fontId="10" numFmtId="49" xfId="0" applyAlignment="1" applyFill="1" applyFont="1" applyNumberFormat="1">
      <alignment horizontal="center" readingOrder="0" vertical="bottom"/>
    </xf>
    <xf borderId="0" fillId="20" fontId="10" numFmtId="164" xfId="0" applyAlignment="1" applyFont="1" applyNumberFormat="1">
      <alignment horizontal="center" readingOrder="0" vertical="bottom"/>
    </xf>
    <xf borderId="0" fillId="21" fontId="31" numFmtId="49" xfId="0" applyAlignment="1" applyFill="1" applyFont="1" applyNumberFormat="1">
      <alignment horizontal="center" readingOrder="0" vertical="bottom"/>
    </xf>
    <xf borderId="0" fillId="21" fontId="31" numFmtId="49" xfId="0" applyAlignment="1" applyFont="1" applyNumberFormat="1">
      <alignment horizontal="center" vertical="bottom"/>
    </xf>
    <xf borderId="0" fillId="21" fontId="31" numFmtId="164" xfId="0" applyAlignment="1" applyFont="1" applyNumberFormat="1">
      <alignment horizontal="center" vertical="bottom"/>
    </xf>
    <xf borderId="0" fillId="18" fontId="14" numFmtId="49" xfId="0" applyAlignment="1" applyFont="1" applyNumberFormat="1">
      <alignment horizontal="center" readingOrder="0" vertical="bottom"/>
    </xf>
    <xf borderId="0" fillId="18" fontId="14" numFmtId="164" xfId="0" applyAlignment="1" applyFont="1" applyNumberFormat="1">
      <alignment horizontal="center" readingOrder="0" vertical="bottom"/>
    </xf>
    <xf borderId="0" fillId="19" fontId="25" numFmtId="49" xfId="0" applyAlignment="1" applyFont="1" applyNumberFormat="1">
      <alignment horizontal="center" readingOrder="0" vertical="bottom"/>
    </xf>
    <xf borderId="0" fillId="19" fontId="25" numFmtId="164" xfId="0" applyAlignment="1" applyFont="1" applyNumberFormat="1">
      <alignment horizontal="center" readingOrder="0" vertical="bottom"/>
    </xf>
    <xf borderId="0" fillId="20" fontId="14" numFmtId="49" xfId="0" applyAlignment="1" applyFont="1" applyNumberFormat="1">
      <alignment horizontal="center" readingOrder="0" vertical="bottom"/>
    </xf>
    <xf borderId="0" fillId="20" fontId="14" numFmtId="164" xfId="0" applyAlignment="1" applyFont="1" applyNumberFormat="1">
      <alignment horizontal="center" readingOrder="0" vertical="bottom"/>
    </xf>
    <xf borderId="0" fillId="21" fontId="32" numFmtId="49" xfId="0" applyAlignment="1" applyFont="1" applyNumberFormat="1">
      <alignment horizontal="center" readingOrder="0" vertical="bottom"/>
    </xf>
    <xf borderId="0" fillId="21" fontId="32" numFmtId="164" xfId="0" applyAlignment="1" applyFont="1" applyNumberFormat="1">
      <alignment horizontal="center" readingOrder="0" vertical="bottom"/>
    </xf>
    <xf borderId="0" fillId="18" fontId="18" numFmtId="49" xfId="0" applyAlignment="1" applyFont="1" applyNumberFormat="1">
      <alignment horizontal="center" readingOrder="0" vertical="bottom"/>
    </xf>
    <xf borderId="0" fillId="18" fontId="18" numFmtId="164" xfId="0" applyAlignment="1" applyFont="1" applyNumberFormat="1">
      <alignment horizontal="center" readingOrder="0" vertical="bottom"/>
    </xf>
    <xf borderId="0" fillId="20" fontId="18" numFmtId="49" xfId="0" applyAlignment="1" applyFont="1" applyNumberFormat="1">
      <alignment horizontal="center" readingOrder="0" vertical="bottom"/>
    </xf>
    <xf borderId="0" fillId="20" fontId="18" numFmtId="164" xfId="0" applyAlignment="1" applyFont="1" applyNumberFormat="1">
      <alignment horizontal="center" readingOrder="0" vertical="bottom"/>
    </xf>
    <xf borderId="0" fillId="22" fontId="10" numFmtId="49" xfId="0" applyAlignment="1" applyFill="1" applyFont="1" applyNumberFormat="1">
      <alignment horizontal="center" readingOrder="0" vertical="bottom"/>
    </xf>
    <xf borderId="0" fillId="22" fontId="10" numFmtId="164" xfId="0" applyAlignment="1" applyFont="1" applyNumberFormat="1">
      <alignment horizontal="center" vertical="bottom"/>
    </xf>
    <xf borderId="0" fillId="23" fontId="33" numFmtId="49" xfId="0" applyAlignment="1" applyFill="1" applyFont="1" applyNumberFormat="1">
      <alignment horizontal="center" readingOrder="0" vertical="bottom"/>
    </xf>
    <xf borderId="0" fillId="23" fontId="33" numFmtId="164" xfId="0" applyAlignment="1" applyFont="1" applyNumberFormat="1">
      <alignment horizontal="center" vertical="bottom"/>
    </xf>
    <xf borderId="0" fillId="24" fontId="34" numFmtId="49" xfId="0" applyAlignment="1" applyFill="1" applyFont="1" applyNumberFormat="1">
      <alignment horizontal="center" readingOrder="0" vertical="bottom"/>
    </xf>
    <xf borderId="0" fillId="24" fontId="34" numFmtId="164" xfId="0" applyAlignment="1" applyFont="1" applyNumberFormat="1">
      <alignment horizontal="center" vertical="bottom"/>
    </xf>
    <xf borderId="0" fillId="25" fontId="22" numFmtId="0" xfId="0" applyAlignment="1" applyFill="1" applyFont="1">
      <alignment horizontal="center" readingOrder="0" vertical="bottom"/>
    </xf>
    <xf borderId="0" fillId="25" fontId="22" numFmtId="49" xfId="0" applyAlignment="1" applyFont="1" applyNumberFormat="1">
      <alignment horizontal="center" vertical="bottom"/>
    </xf>
    <xf borderId="0" fillId="25" fontId="22" numFmtId="164" xfId="0" applyAlignment="1" applyFont="1" applyNumberFormat="1">
      <alignment horizontal="center" vertical="bottom"/>
    </xf>
    <xf borderId="0" fillId="22" fontId="18" numFmtId="49" xfId="0" applyAlignment="1" applyFont="1" applyNumberFormat="1">
      <alignment horizontal="center" readingOrder="0" vertical="bottom"/>
    </xf>
    <xf borderId="0" fillId="22" fontId="18" numFmtId="164" xfId="0" applyAlignment="1" applyFont="1" applyNumberFormat="1">
      <alignment horizontal="center" readingOrder="0" vertical="bottom"/>
    </xf>
    <xf borderId="0" fillId="23" fontId="35" numFmtId="49" xfId="0" applyAlignment="1" applyFont="1" applyNumberFormat="1">
      <alignment horizontal="center" readingOrder="0" vertical="bottom"/>
    </xf>
    <xf borderId="0" fillId="23" fontId="35" numFmtId="164" xfId="0" applyAlignment="1" applyFont="1" applyNumberFormat="1">
      <alignment horizontal="center" readingOrder="0" vertical="bottom"/>
    </xf>
    <xf borderId="0" fillId="24" fontId="36" numFmtId="49" xfId="0" applyAlignment="1" applyFont="1" applyNumberFormat="1">
      <alignment horizontal="center" readingOrder="0" vertical="bottom"/>
    </xf>
    <xf borderId="0" fillId="24" fontId="36" numFmtId="164" xfId="0" applyAlignment="1" applyFont="1" applyNumberFormat="1">
      <alignment horizontal="center" readingOrder="0" vertical="bottom"/>
    </xf>
    <xf borderId="0" fillId="25" fontId="25" numFmtId="49" xfId="0" applyAlignment="1" applyFont="1" applyNumberFormat="1">
      <alignment horizontal="center" readingOrder="0" vertical="bottom"/>
    </xf>
    <xf borderId="0" fillId="25" fontId="25" numFmtId="164" xfId="0" applyAlignment="1" applyFont="1" applyNumberFormat="1">
      <alignment horizontal="center" readingOrder="0" vertical="bottom"/>
    </xf>
    <xf borderId="0" fillId="22" fontId="14" numFmtId="49" xfId="0" applyAlignment="1" applyFont="1" applyNumberFormat="1">
      <alignment horizontal="center" readingOrder="0" vertical="bottom"/>
    </xf>
    <xf borderId="0" fillId="22" fontId="14" numFmtId="164" xfId="0" applyAlignment="1" applyFont="1" applyNumberFormat="1">
      <alignment horizontal="center" readingOrder="0" vertical="bottom"/>
    </xf>
    <xf borderId="0" fillId="25" fontId="25" numFmtId="49" xfId="0" applyAlignment="1" applyFont="1" applyNumberFormat="1">
      <alignment horizontal="center" vertical="bottom"/>
    </xf>
    <xf borderId="0" fillId="25" fontId="25" numFmtId="164" xfId="0" applyAlignment="1" applyFont="1" applyNumberFormat="1">
      <alignment horizontal="center" vertical="bottom"/>
    </xf>
    <xf borderId="0" fillId="24" fontId="36" numFmtId="49" xfId="0" applyAlignment="1" applyFont="1" applyNumberFormat="1">
      <alignment horizontal="center" vertical="bottom"/>
    </xf>
    <xf borderId="0" fillId="24" fontId="36" numFmtId="164" xfId="0" applyAlignment="1" applyFont="1" applyNumberFormat="1">
      <alignment horizontal="center" vertical="bottom"/>
    </xf>
    <xf borderId="0" fillId="25" fontId="25" numFmtId="49" xfId="0" applyAlignment="1" applyFont="1" applyNumberFormat="1">
      <alignment readingOrder="0" vertical="bottom"/>
    </xf>
    <xf borderId="0" fillId="23" fontId="35" numFmtId="49" xfId="0" applyAlignment="1" applyFont="1" applyNumberFormat="1">
      <alignment horizontal="center" vertical="bottom"/>
    </xf>
    <xf borderId="0" fillId="23" fontId="37" numFmtId="49" xfId="0" applyAlignment="1" applyFont="1" applyNumberFormat="1">
      <alignment readingOrder="0" vertical="bottom"/>
    </xf>
    <xf borderId="0" fillId="23" fontId="35" numFmtId="164" xfId="0" applyAlignment="1" applyFont="1" applyNumberFormat="1">
      <alignment horizontal="center" vertical="bottom"/>
    </xf>
    <xf borderId="0" fillId="26" fontId="38" numFmtId="49" xfId="0" applyAlignment="1" applyFill="1" applyFont="1" applyNumberFormat="1">
      <alignment horizontal="center" readingOrder="0" vertical="bottom"/>
    </xf>
    <xf borderId="0" fillId="26" fontId="38" numFmtId="164" xfId="0" applyAlignment="1" applyFont="1" applyNumberFormat="1">
      <alignment horizontal="center" vertical="bottom"/>
    </xf>
    <xf borderId="0" fillId="27" fontId="10" numFmtId="49" xfId="0" applyAlignment="1" applyFill="1" applyFont="1" applyNumberFormat="1">
      <alignment horizontal="center" readingOrder="0" vertical="bottom"/>
    </xf>
    <xf borderId="0" fillId="27" fontId="10" numFmtId="49" xfId="0" applyAlignment="1" applyFont="1" applyNumberFormat="1">
      <alignment horizontal="center" vertical="bottom"/>
    </xf>
    <xf borderId="0" fillId="27" fontId="10" numFmtId="164" xfId="0" applyAlignment="1" applyFont="1" applyNumberFormat="1">
      <alignment horizontal="center" vertical="bottom"/>
    </xf>
    <xf borderId="0" fillId="28" fontId="39" numFmtId="49" xfId="0" applyAlignment="1" applyFill="1" applyFont="1" applyNumberFormat="1">
      <alignment horizontal="center" readingOrder="0" vertical="bottom"/>
    </xf>
    <xf borderId="0" fillId="28" fontId="39" numFmtId="164" xfId="0" applyAlignment="1" applyFont="1" applyNumberFormat="1">
      <alignment horizontal="center" vertical="bottom"/>
    </xf>
    <xf borderId="0" fillId="29" fontId="40" numFmtId="49" xfId="0" applyAlignment="1" applyFill="1" applyFont="1" applyNumberFormat="1">
      <alignment horizontal="center" readingOrder="0" vertical="bottom"/>
    </xf>
    <xf borderId="0" fillId="29" fontId="40" numFmtId="164" xfId="0" applyAlignment="1" applyFont="1" applyNumberFormat="1">
      <alignment horizontal="center" vertical="bottom"/>
    </xf>
    <xf borderId="0" fillId="26" fontId="41" numFmtId="49" xfId="0" applyAlignment="1" applyFont="1" applyNumberFormat="1">
      <alignment horizontal="center" vertical="bottom"/>
    </xf>
    <xf borderId="0" fillId="26" fontId="41" numFmtId="164" xfId="0" applyAlignment="1" applyFont="1" applyNumberFormat="1">
      <alignment horizontal="center" vertical="bottom"/>
    </xf>
    <xf borderId="0" fillId="27" fontId="14" numFmtId="49" xfId="0" applyAlignment="1" applyFont="1" applyNumberFormat="1">
      <alignment horizontal="center" readingOrder="0" vertical="bottom"/>
    </xf>
    <xf borderId="0" fillId="27" fontId="14" numFmtId="164" xfId="0" applyAlignment="1" applyFont="1" applyNumberFormat="1">
      <alignment horizontal="center" readingOrder="0" vertical="bottom"/>
    </xf>
    <xf borderId="0" fillId="28" fontId="42" numFmtId="49" xfId="0" applyAlignment="1" applyFont="1" applyNumberFormat="1">
      <alignment horizontal="center" readingOrder="0" vertical="bottom"/>
    </xf>
    <xf borderId="0" fillId="28" fontId="42" numFmtId="164" xfId="0" applyAlignment="1" applyFont="1" applyNumberFormat="1">
      <alignment horizontal="center" readingOrder="0" vertical="bottom"/>
    </xf>
    <xf borderId="0" fillId="29" fontId="43" numFmtId="49" xfId="0" applyAlignment="1" applyFont="1" applyNumberFormat="1">
      <alignment horizontal="center" readingOrder="0" vertical="bottom"/>
    </xf>
    <xf borderId="0" fillId="29" fontId="43" numFmtId="164" xfId="0" applyAlignment="1" applyFont="1" applyNumberFormat="1">
      <alignment horizontal="center" readingOrder="0" vertical="bottom"/>
    </xf>
    <xf borderId="0" fillId="26" fontId="44" numFmtId="49" xfId="0" applyAlignment="1" applyFont="1" applyNumberFormat="1">
      <alignment readingOrder="0" vertical="bottom"/>
    </xf>
    <xf borderId="0" fillId="26" fontId="41" numFmtId="49" xfId="0" applyAlignment="1" applyFont="1" applyNumberFormat="1">
      <alignment horizontal="center" readingOrder="0" vertical="bottom"/>
    </xf>
    <xf borderId="0" fillId="26" fontId="41" numFmtId="164" xfId="0" applyAlignment="1" applyFont="1" applyNumberFormat="1">
      <alignment horizontal="center" readingOrder="0" vertical="bottom"/>
    </xf>
    <xf borderId="0" fillId="27" fontId="18" numFmtId="49" xfId="0" applyAlignment="1" applyFont="1" applyNumberFormat="1">
      <alignment horizontal="center" readingOrder="0" vertical="bottom"/>
    </xf>
    <xf borderId="0" fillId="27" fontId="18" numFmtId="164" xfId="0" applyAlignment="1" applyFont="1" applyNumberFormat="1">
      <alignment horizontal="center" readingOrder="0" vertical="bottom"/>
    </xf>
    <xf borderId="0" fillId="30" fontId="45" numFmtId="49" xfId="0" applyAlignment="1" applyFill="1" applyFont="1" applyNumberFormat="1">
      <alignment horizontal="center" readingOrder="0" vertical="bottom"/>
    </xf>
    <xf borderId="0" fillId="30" fontId="45" numFmtId="164" xfId="0" applyAlignment="1" applyFont="1" applyNumberFormat="1">
      <alignment horizontal="center" vertical="bottom"/>
    </xf>
    <xf borderId="0" fillId="31" fontId="46" numFmtId="49" xfId="0" applyAlignment="1" applyFill="1" applyFont="1" applyNumberFormat="1">
      <alignment horizontal="center" readingOrder="0" vertical="bottom"/>
    </xf>
    <xf borderId="0" fillId="31" fontId="46" numFmtId="164" xfId="0" applyAlignment="1" applyFont="1" applyNumberFormat="1">
      <alignment horizontal="center" vertical="bottom"/>
    </xf>
    <xf borderId="0" fillId="32" fontId="22" numFmtId="49" xfId="0" applyAlignment="1" applyFill="1" applyFont="1" applyNumberFormat="1">
      <alignment horizontal="center" readingOrder="0" vertical="bottom"/>
    </xf>
    <xf borderId="0" fillId="32" fontId="22" numFmtId="49" xfId="0" applyAlignment="1" applyFont="1" applyNumberFormat="1">
      <alignment horizontal="center" vertical="bottom"/>
    </xf>
    <xf borderId="0" fillId="32" fontId="22" numFmtId="164" xfId="0" applyAlignment="1" applyFont="1" applyNumberFormat="1">
      <alignment horizontal="center" vertical="bottom"/>
    </xf>
    <xf borderId="0" fillId="33" fontId="22" numFmtId="49" xfId="0" applyAlignment="1" applyFill="1" applyFont="1" applyNumberFormat="1">
      <alignment horizontal="center" readingOrder="0" vertical="bottom"/>
    </xf>
    <xf borderId="0" fillId="33" fontId="22" numFmtId="164" xfId="0" applyAlignment="1" applyFont="1" applyNumberFormat="1">
      <alignment horizontal="center" vertical="bottom"/>
    </xf>
    <xf borderId="0" fillId="30" fontId="47" numFmtId="49" xfId="0" applyAlignment="1" applyFont="1" applyNumberFormat="1">
      <alignment horizontal="center" readingOrder="0" vertical="bottom"/>
    </xf>
    <xf borderId="0" fillId="30" fontId="47" numFmtId="164" xfId="0" applyAlignment="1" applyFont="1" applyNumberFormat="1">
      <alignment horizontal="center" readingOrder="0" vertical="bottom"/>
    </xf>
    <xf borderId="0" fillId="31" fontId="48" numFmtId="49" xfId="0" applyAlignment="1" applyFont="1" applyNumberFormat="1">
      <alignment horizontal="center" readingOrder="0" vertical="bottom"/>
    </xf>
    <xf borderId="0" fillId="31" fontId="48" numFmtId="164" xfId="0" applyAlignment="1" applyFont="1" applyNumberFormat="1">
      <alignment horizontal="center" readingOrder="0" vertical="bottom"/>
    </xf>
    <xf borderId="0" fillId="32" fontId="25" numFmtId="49" xfId="0" applyAlignment="1" applyFont="1" applyNumberFormat="1">
      <alignment horizontal="center" readingOrder="0" vertical="bottom"/>
    </xf>
    <xf borderId="0" fillId="32" fontId="25" numFmtId="164" xfId="0" applyAlignment="1" applyFont="1" applyNumberFormat="1">
      <alignment horizontal="center" readingOrder="0" vertical="bottom"/>
    </xf>
    <xf borderId="0" fillId="33" fontId="25" numFmtId="49" xfId="0" applyAlignment="1" applyFont="1" applyNumberFormat="1">
      <alignment horizontal="center" readingOrder="0" vertical="bottom"/>
    </xf>
    <xf borderId="0" fillId="33" fontId="25" numFmtId="164" xfId="0" applyAlignment="1" applyFont="1" applyNumberFormat="1">
      <alignment horizontal="center" readingOrder="0" vertical="bottom"/>
    </xf>
    <xf borderId="0" fillId="32" fontId="25" numFmtId="49" xfId="0" applyAlignment="1" applyFont="1" applyNumberFormat="1">
      <alignment horizontal="center" vertical="bottom"/>
    </xf>
    <xf borderId="0" fillId="33" fontId="25" numFmtId="49" xfId="0" applyAlignment="1" applyFont="1" applyNumberFormat="1">
      <alignment horizontal="center" vertical="bottom"/>
    </xf>
    <xf borderId="0" fillId="33" fontId="25" numFmtId="164" xfId="0" applyAlignment="1" applyFont="1" applyNumberFormat="1">
      <alignment horizontal="center" vertical="bottom"/>
    </xf>
    <xf borderId="0" fillId="34" fontId="49" numFmtId="0" xfId="0" applyAlignment="1" applyFill="1" applyFont="1">
      <alignment horizontal="center" readingOrder="0" vertical="bottom"/>
    </xf>
    <xf borderId="0" fillId="34" fontId="49" numFmtId="49" xfId="0" applyAlignment="1" applyFont="1" applyNumberFormat="1">
      <alignment horizontal="center" vertical="bottom"/>
    </xf>
    <xf borderId="0" fillId="34" fontId="49" numFmtId="164" xfId="0" applyAlignment="1" applyFont="1" applyNumberFormat="1">
      <alignment horizontal="center" readingOrder="0" vertical="bottom"/>
    </xf>
    <xf borderId="0" fillId="35" fontId="50" numFmtId="49" xfId="0" applyAlignment="1" applyFill="1" applyFont="1" applyNumberFormat="1">
      <alignment horizontal="center" readingOrder="0" vertical="bottom"/>
    </xf>
    <xf borderId="0" fillId="35" fontId="50" numFmtId="164" xfId="0" applyAlignment="1" applyFont="1" applyNumberFormat="1">
      <alignment horizontal="center" readingOrder="0" vertical="bottom"/>
    </xf>
    <xf borderId="0" fillId="36" fontId="51" numFmtId="49" xfId="0" applyAlignment="1" applyFill="1" applyFont="1" applyNumberFormat="1">
      <alignment horizontal="center" readingOrder="0" vertical="bottom"/>
    </xf>
    <xf borderId="0" fillId="36" fontId="10" numFmtId="49" xfId="0" applyAlignment="1" applyFont="1" applyNumberFormat="1">
      <alignment horizontal="center" readingOrder="0" vertical="bottom"/>
    </xf>
    <xf borderId="0" fillId="36" fontId="10" numFmtId="164" xfId="0" applyAlignment="1" applyFont="1" applyNumberFormat="1">
      <alignment horizontal="center" readingOrder="0" vertical="bottom"/>
    </xf>
    <xf borderId="0" fillId="37" fontId="10" numFmtId="49" xfId="0" applyAlignment="1" applyFill="1" applyFont="1" applyNumberFormat="1">
      <alignment horizontal="center" readingOrder="0" vertical="bottom"/>
    </xf>
    <xf borderId="0" fillId="37" fontId="10" numFmtId="49" xfId="0" applyAlignment="1" applyFont="1" applyNumberFormat="1">
      <alignment horizontal="center" vertical="bottom"/>
    </xf>
    <xf borderId="0" fillId="37" fontId="10" numFmtId="164" xfId="0" applyAlignment="1" applyFont="1" applyNumberFormat="1">
      <alignment horizontal="center" vertical="bottom"/>
    </xf>
    <xf borderId="0" fillId="34" fontId="52" numFmtId="49" xfId="0" applyAlignment="1" applyFont="1" applyNumberFormat="1">
      <alignment horizontal="center" readingOrder="0" vertical="bottom"/>
    </xf>
    <xf borderId="0" fillId="34" fontId="52" numFmtId="164" xfId="0" applyAlignment="1" applyFont="1" applyNumberFormat="1">
      <alignment horizontal="center" readingOrder="0" vertical="bottom"/>
    </xf>
    <xf borderId="0" fillId="35" fontId="53" numFmtId="49" xfId="0" applyAlignment="1" applyFont="1" applyNumberFormat="1">
      <alignment horizontal="center" readingOrder="0" vertical="bottom"/>
    </xf>
    <xf borderId="0" fillId="35" fontId="53" numFmtId="164" xfId="0" applyAlignment="1" applyFont="1" applyNumberFormat="1">
      <alignment horizontal="center" readingOrder="0" vertical="bottom"/>
    </xf>
    <xf borderId="0" fillId="36" fontId="14" numFmtId="49" xfId="0" applyAlignment="1" applyFont="1" applyNumberFormat="1">
      <alignment horizontal="center" readingOrder="0" vertical="bottom"/>
    </xf>
    <xf borderId="0" fillId="36" fontId="14" numFmtId="164" xfId="0" applyAlignment="1" applyFont="1" applyNumberFormat="1">
      <alignment horizontal="center" readingOrder="0" vertical="bottom"/>
    </xf>
    <xf borderId="0" fillId="37" fontId="18" numFmtId="49" xfId="0" applyAlignment="1" applyFont="1" applyNumberFormat="1">
      <alignment horizontal="center" readingOrder="0" vertical="bottom"/>
    </xf>
    <xf borderId="0" fillId="37" fontId="18" numFmtId="164" xfId="0" applyAlignment="1" applyFont="1" applyNumberFormat="1">
      <alignment horizontal="center" readingOrder="0" vertical="bottom"/>
    </xf>
    <xf borderId="0" fillId="37" fontId="14" numFmtId="49" xfId="0" applyAlignment="1" applyFont="1" applyNumberFormat="1">
      <alignment horizontal="center" readingOrder="0" vertical="bottom"/>
    </xf>
    <xf borderId="0" fillId="36" fontId="18" numFmtId="49" xfId="0" applyAlignment="1" applyFont="1" applyNumberFormat="1">
      <alignment horizontal="center" readingOrder="0" vertical="bottom"/>
    </xf>
    <xf borderId="0" fillId="36" fontId="18" numFmtId="164" xfId="0" applyAlignment="1" applyFont="1" applyNumberFormat="1">
      <alignment horizontal="center" readingOrder="0" vertical="bottom"/>
    </xf>
    <xf borderId="0" fillId="37" fontId="14" numFmtId="164" xfId="0" applyAlignment="1" applyFont="1" applyNumberFormat="1">
      <alignment horizontal="center" readingOrder="0" vertical="bottom"/>
    </xf>
    <xf borderId="0" fillId="38" fontId="10" numFmtId="49" xfId="0" applyAlignment="1" applyFill="1" applyFont="1" applyNumberFormat="1">
      <alignment horizontal="center" readingOrder="0" vertical="bottom"/>
    </xf>
    <xf borderId="0" fillId="38" fontId="10" numFmtId="164" xfId="0" applyAlignment="1" applyFont="1" applyNumberFormat="1">
      <alignment horizontal="center" vertical="bottom"/>
    </xf>
    <xf borderId="0" fillId="39" fontId="54" numFmtId="49" xfId="0" applyAlignment="1" applyFill="1" applyFont="1" applyNumberFormat="1">
      <alignment horizontal="center" readingOrder="0" vertical="bottom"/>
    </xf>
    <xf borderId="0" fillId="39" fontId="54" numFmtId="164" xfId="0" applyAlignment="1" applyFont="1" applyNumberFormat="1">
      <alignment horizontal="center" vertical="bottom"/>
    </xf>
    <xf borderId="0" fillId="40" fontId="22" numFmtId="49" xfId="0" applyAlignment="1" applyFill="1" applyFont="1" applyNumberFormat="1">
      <alignment horizontal="center" readingOrder="0" vertical="bottom"/>
    </xf>
    <xf borderId="0" fillId="40" fontId="22" numFmtId="164" xfId="0" applyAlignment="1" applyFont="1" applyNumberFormat="1">
      <alignment horizontal="center" vertical="bottom"/>
    </xf>
    <xf borderId="0" fillId="41" fontId="10" numFmtId="0" xfId="0" applyAlignment="1" applyFill="1" applyFont="1">
      <alignment horizontal="center" readingOrder="0" vertical="bottom"/>
    </xf>
    <xf borderId="0" fillId="41" fontId="10" numFmtId="49" xfId="0" applyAlignment="1" applyFont="1" applyNumberFormat="1">
      <alignment horizontal="center" vertical="bottom"/>
    </xf>
    <xf borderId="0" fillId="41" fontId="10" numFmtId="164" xfId="0" applyAlignment="1" applyFont="1" applyNumberFormat="1">
      <alignment horizontal="center" vertical="bottom"/>
    </xf>
    <xf borderId="0" fillId="38" fontId="14" numFmtId="49" xfId="0" applyAlignment="1" applyFont="1" applyNumberFormat="1">
      <alignment horizontal="center" readingOrder="0" vertical="bottom"/>
    </xf>
    <xf borderId="0" fillId="38" fontId="14" numFmtId="164" xfId="0" applyAlignment="1" applyFont="1" applyNumberFormat="1">
      <alignment horizontal="center" readingOrder="0" vertical="bottom"/>
    </xf>
    <xf borderId="0" fillId="39" fontId="55" numFmtId="49" xfId="0" applyAlignment="1" applyFont="1" applyNumberFormat="1">
      <alignment horizontal="center" readingOrder="0" vertical="bottom"/>
    </xf>
    <xf borderId="0" fillId="39" fontId="55" numFmtId="164" xfId="0" applyAlignment="1" applyFont="1" applyNumberFormat="1">
      <alignment horizontal="center" readingOrder="0" vertical="bottom"/>
    </xf>
    <xf borderId="0" fillId="40" fontId="25" numFmtId="49" xfId="0" applyAlignment="1" applyFont="1" applyNumberFormat="1">
      <alignment horizontal="center" readingOrder="0" vertical="bottom"/>
    </xf>
    <xf borderId="0" fillId="40" fontId="25" numFmtId="164" xfId="0" applyAlignment="1" applyFont="1" applyNumberFormat="1">
      <alignment horizontal="center" readingOrder="0" vertical="bottom"/>
    </xf>
    <xf borderId="0" fillId="41" fontId="18" numFmtId="49" xfId="0" applyAlignment="1" applyFont="1" applyNumberFormat="1">
      <alignment horizontal="center" readingOrder="0" vertical="bottom"/>
    </xf>
    <xf borderId="0" fillId="41" fontId="18" numFmtId="164" xfId="0" applyAlignment="1" applyFont="1" applyNumberFormat="1">
      <alignment horizontal="center" readingOrder="0" vertical="bottom"/>
    </xf>
    <xf borderId="0" fillId="38" fontId="18" numFmtId="49" xfId="0" applyAlignment="1" applyFont="1" applyNumberFormat="1">
      <alignment horizontal="center" readingOrder="0" vertical="bottom"/>
    </xf>
    <xf borderId="0" fillId="38" fontId="18" numFmtId="164" xfId="0" applyAlignment="1" applyFont="1" applyNumberFormat="1">
      <alignment horizontal="center" readingOrder="0" vertical="bottom"/>
    </xf>
    <xf borderId="0" fillId="41" fontId="14" numFmtId="49" xfId="0" applyAlignment="1" applyFont="1" applyNumberFormat="1">
      <alignment horizontal="center" readingOrder="0" vertical="bottom"/>
    </xf>
    <xf borderId="0" fillId="41" fontId="14" numFmtId="164" xfId="0" applyAlignment="1" applyFont="1" applyNumberFormat="1">
      <alignment horizontal="center" readingOrder="0" vertical="bottom"/>
    </xf>
    <xf borderId="0" fillId="41" fontId="56" numFmtId="49" xfId="0" applyAlignment="1" applyFont="1" applyNumberFormat="1">
      <alignment horizontal="center" readingOrder="0" vertical="bottom"/>
    </xf>
    <xf borderId="0" fillId="41" fontId="56" numFmtId="164" xfId="0" applyAlignment="1" applyFont="1" applyNumberFormat="1">
      <alignment horizontal="center" vertical="bottom"/>
    </xf>
    <xf borderId="0" fillId="42" fontId="57" numFmtId="49" xfId="0" applyAlignment="1" applyFill="1" applyFont="1" applyNumberFormat="1">
      <alignment horizontal="center" readingOrder="0" vertical="bottom"/>
    </xf>
    <xf borderId="0" fillId="42" fontId="57" numFmtId="49" xfId="0" applyAlignment="1" applyFont="1" applyNumberFormat="1">
      <alignment horizontal="center" vertical="bottom"/>
    </xf>
    <xf borderId="0" fillId="42" fontId="57" numFmtId="164" xfId="0" applyAlignment="1" applyFont="1" applyNumberFormat="1">
      <alignment horizontal="center" vertical="bottom"/>
    </xf>
    <xf borderId="0" fillId="43" fontId="58" numFmtId="49" xfId="0" applyAlignment="1" applyFill="1" applyFont="1" applyNumberFormat="1">
      <alignment horizontal="center" readingOrder="0" vertical="bottom"/>
    </xf>
    <xf borderId="0" fillId="43" fontId="58" numFmtId="164" xfId="0" applyAlignment="1" applyFont="1" applyNumberFormat="1">
      <alignment horizontal="center" vertical="bottom"/>
    </xf>
    <xf borderId="0" fillId="44" fontId="59" numFmtId="49" xfId="0" applyAlignment="1" applyFill="1" applyFont="1" applyNumberFormat="1">
      <alignment horizontal="center" readingOrder="0" vertical="bottom"/>
    </xf>
    <xf borderId="0" fillId="44" fontId="59" numFmtId="164" xfId="0" applyAlignment="1" applyFont="1" applyNumberFormat="1">
      <alignment horizontal="center" vertical="bottom"/>
    </xf>
    <xf borderId="0" fillId="41" fontId="60" numFmtId="49" xfId="0" applyAlignment="1" applyFont="1" applyNumberFormat="1">
      <alignment horizontal="center" readingOrder="0" vertical="bottom"/>
    </xf>
    <xf borderId="0" fillId="41" fontId="60" numFmtId="164" xfId="0" applyAlignment="1" applyFont="1" applyNumberFormat="1">
      <alignment horizontal="center" readingOrder="0" vertical="bottom"/>
    </xf>
    <xf borderId="0" fillId="42" fontId="61" numFmtId="49" xfId="0" applyAlignment="1" applyFont="1" applyNumberFormat="1">
      <alignment horizontal="center" readingOrder="0" vertical="bottom"/>
    </xf>
    <xf borderId="0" fillId="42" fontId="61" numFmtId="164" xfId="0" applyAlignment="1" applyFont="1" applyNumberFormat="1">
      <alignment horizontal="center" readingOrder="0" vertical="bottom"/>
    </xf>
    <xf borderId="0" fillId="43" fontId="62" numFmtId="49" xfId="0" applyAlignment="1" applyFont="1" applyNumberFormat="1">
      <alignment horizontal="center" readingOrder="0" vertical="bottom"/>
    </xf>
    <xf borderId="0" fillId="43" fontId="62" numFmtId="164" xfId="0" applyAlignment="1" applyFont="1" applyNumberFormat="1">
      <alignment horizontal="center" readingOrder="0" vertical="bottom"/>
    </xf>
    <xf borderId="0" fillId="44" fontId="14" numFmtId="49" xfId="0" applyAlignment="1" applyFont="1" applyNumberFormat="1">
      <alignment horizontal="center" readingOrder="0" vertical="bottom"/>
    </xf>
    <xf borderId="0" fillId="44" fontId="14" numFmtId="164" xfId="0" applyAlignment="1" applyFont="1" applyNumberFormat="1">
      <alignment horizontal="center" readingOrder="0" vertical="bottom"/>
    </xf>
    <xf borderId="0" fillId="44" fontId="14" numFmtId="49" xfId="0" applyAlignment="1" applyFont="1" applyNumberFormat="1">
      <alignment horizontal="center" vertical="bottom"/>
    </xf>
    <xf borderId="0" fillId="44" fontId="14" numFmtId="164" xfId="0" applyAlignment="1" applyFont="1" applyNumberFormat="1">
      <alignment horizontal="center" vertical="bottom"/>
    </xf>
    <xf borderId="0" fillId="44" fontId="63" numFmtId="49" xfId="0" applyAlignment="1" applyFont="1" applyNumberFormat="1">
      <alignment horizontal="center" readingOrder="0" vertical="bottom"/>
    </xf>
    <xf borderId="0" fillId="44" fontId="63" numFmtId="164" xfId="0" applyAlignment="1" applyFont="1" applyNumberFormat="1">
      <alignment horizontal="center" vertical="bottom"/>
    </xf>
    <xf borderId="0" fillId="45" fontId="64" numFmtId="49" xfId="0" applyAlignment="1" applyFill="1" applyFont="1" applyNumberFormat="1">
      <alignment horizontal="center" readingOrder="0" vertical="bottom"/>
    </xf>
    <xf borderId="0" fillId="45" fontId="64" numFmtId="164" xfId="0" applyAlignment="1" applyFont="1" applyNumberFormat="1">
      <alignment horizontal="center" vertical="bottom"/>
    </xf>
    <xf borderId="0" fillId="46" fontId="22" numFmtId="49" xfId="0" applyAlignment="1" applyFill="1" applyFont="1" applyNumberFormat="1">
      <alignment horizontal="center" readingOrder="0" vertical="bottom"/>
    </xf>
    <xf borderId="0" fillId="46" fontId="22" numFmtId="49" xfId="0" applyAlignment="1" applyFont="1" applyNumberFormat="1">
      <alignment horizontal="center" vertical="bottom"/>
    </xf>
    <xf borderId="0" fillId="46" fontId="22" numFmtId="164" xfId="0" applyAlignment="1" applyFont="1" applyNumberFormat="1">
      <alignment horizontal="center" vertical="bottom"/>
    </xf>
    <xf borderId="0" fillId="19" fontId="65" numFmtId="49" xfId="0" applyAlignment="1" applyFont="1" applyNumberFormat="1">
      <alignment horizontal="center" readingOrder="0" vertical="bottom"/>
    </xf>
    <xf borderId="0" fillId="19" fontId="65" numFmtId="164" xfId="0" applyAlignment="1" applyFont="1" applyNumberFormat="1">
      <alignment horizontal="center" vertical="bottom"/>
    </xf>
    <xf borderId="0" fillId="44" fontId="66" numFmtId="49" xfId="0" applyAlignment="1" applyFont="1" applyNumberFormat="1">
      <alignment horizontal="center" readingOrder="0" vertical="bottom"/>
    </xf>
    <xf borderId="0" fillId="44" fontId="66" numFmtId="164" xfId="0" applyAlignment="1" applyFont="1" applyNumberFormat="1">
      <alignment horizontal="center" readingOrder="0" vertical="bottom"/>
    </xf>
    <xf borderId="0" fillId="45" fontId="14" numFmtId="49" xfId="0" applyAlignment="1" applyFont="1" applyNumberFormat="1">
      <alignment horizontal="center" readingOrder="0" vertical="bottom"/>
    </xf>
    <xf borderId="0" fillId="45" fontId="14" numFmtId="164" xfId="0" applyAlignment="1" applyFont="1" applyNumberFormat="1">
      <alignment horizontal="center" readingOrder="0" vertical="bottom"/>
    </xf>
    <xf borderId="0" fillId="46" fontId="25" numFmtId="49" xfId="0" applyAlignment="1" applyFont="1" applyNumberFormat="1">
      <alignment horizontal="center" readingOrder="0" vertical="bottom"/>
    </xf>
    <xf borderId="0" fillId="46" fontId="25" numFmtId="164" xfId="0" applyAlignment="1" applyFont="1" applyNumberFormat="1">
      <alignment horizontal="center" readingOrder="0" vertical="bottom"/>
    </xf>
    <xf borderId="0" fillId="19" fontId="67" numFmtId="49" xfId="0" applyAlignment="1" applyFont="1" applyNumberFormat="1">
      <alignment horizontal="center" readingOrder="0" vertical="bottom"/>
    </xf>
    <xf borderId="0" fillId="19" fontId="67" numFmtId="164" xfId="0" applyAlignment="1" applyFont="1" applyNumberFormat="1">
      <alignment horizontal="center" readingOrder="0" vertical="bottom"/>
    </xf>
    <xf borderId="0" fillId="47" fontId="68" numFmtId="0" xfId="0" applyAlignment="1" applyFill="1" applyFont="1">
      <alignment horizontal="center" readingOrder="0" vertical="bottom"/>
    </xf>
    <xf borderId="0" fillId="47" fontId="68" numFmtId="49" xfId="0" applyAlignment="1" applyFont="1" applyNumberFormat="1">
      <alignment horizontal="center" vertical="bottom"/>
    </xf>
    <xf borderId="0" fillId="47" fontId="68" numFmtId="164" xfId="0" applyAlignment="1" applyFont="1" applyNumberFormat="1">
      <alignment horizontal="center" readingOrder="0" vertical="bottom"/>
    </xf>
    <xf borderId="0" fillId="48" fontId="22" numFmtId="49" xfId="0" applyAlignment="1" applyFill="1" applyFont="1" applyNumberFormat="1">
      <alignment horizontal="center" readingOrder="0" vertical="bottom"/>
    </xf>
    <xf borderId="0" fillId="48" fontId="22" numFmtId="164" xfId="0" applyAlignment="1" applyFont="1" applyNumberFormat="1">
      <alignment horizontal="center" readingOrder="0" vertical="bottom"/>
    </xf>
    <xf borderId="0" fillId="49" fontId="69" numFmtId="49" xfId="0" applyAlignment="1" applyFill="1" applyFont="1" applyNumberFormat="1">
      <alignment horizontal="center" readingOrder="0" vertical="bottom"/>
    </xf>
    <xf borderId="0" fillId="49" fontId="69" numFmtId="164" xfId="0" applyAlignment="1" applyFont="1" applyNumberFormat="1">
      <alignment horizontal="center" readingOrder="0" vertical="bottom"/>
    </xf>
    <xf borderId="0" fillId="45" fontId="70" numFmtId="49" xfId="0" applyAlignment="1" applyFont="1" applyNumberFormat="1">
      <alignment horizontal="center" readingOrder="0" vertical="bottom"/>
    </xf>
    <xf borderId="0" fillId="45" fontId="70" numFmtId="49" xfId="0" applyAlignment="1" applyFont="1" applyNumberFormat="1">
      <alignment horizontal="center" vertical="bottom"/>
    </xf>
    <xf borderId="0" fillId="45" fontId="70" numFmtId="164" xfId="0" applyAlignment="1" applyFont="1" applyNumberFormat="1">
      <alignment horizontal="center" vertical="bottom"/>
    </xf>
    <xf borderId="0" fillId="47" fontId="71" numFmtId="49" xfId="0" applyAlignment="1" applyFont="1" applyNumberFormat="1">
      <alignment horizontal="center" readingOrder="0" vertical="bottom"/>
    </xf>
    <xf borderId="0" fillId="47" fontId="71" numFmtId="164" xfId="0" applyAlignment="1" applyFont="1" applyNumberFormat="1">
      <alignment horizontal="center" readingOrder="0" vertical="bottom"/>
    </xf>
    <xf borderId="0" fillId="48" fontId="25" numFmtId="49" xfId="0" applyAlignment="1" applyFont="1" applyNumberFormat="1">
      <alignment horizontal="center" readingOrder="0" vertical="bottom"/>
    </xf>
    <xf borderId="0" fillId="48" fontId="25" numFmtId="164" xfId="0" applyAlignment="1" applyFont="1" applyNumberFormat="1">
      <alignment horizontal="center" readingOrder="0" vertical="bottom"/>
    </xf>
    <xf borderId="0" fillId="49" fontId="72" numFmtId="49" xfId="0" applyAlignment="1" applyFont="1" applyNumberFormat="1">
      <alignment horizontal="center" readingOrder="0" vertical="bottom"/>
    </xf>
    <xf borderId="0" fillId="49" fontId="72" numFmtId="164" xfId="0" applyAlignment="1" applyFont="1" applyNumberFormat="1">
      <alignment horizontal="center" readingOrder="0" vertical="bottom"/>
    </xf>
    <xf borderId="0" fillId="45" fontId="73" numFmtId="49" xfId="0" applyAlignment="1" applyFont="1" applyNumberFormat="1">
      <alignment horizontal="center" readingOrder="0" vertical="bottom"/>
    </xf>
    <xf borderId="0" fillId="45" fontId="73" numFmtId="164" xfId="0" applyAlignment="1" applyFont="1" applyNumberFormat="1">
      <alignment horizontal="center" readingOrder="0" vertical="bottom"/>
    </xf>
    <xf borderId="0" fillId="50" fontId="10" numFmtId="49" xfId="0" applyAlignment="1" applyFill="1" applyFont="1" applyNumberFormat="1">
      <alignment horizontal="center" readingOrder="0" vertical="bottom"/>
    </xf>
    <xf borderId="0" fillId="50" fontId="10" numFmtId="164" xfId="0" applyAlignment="1" applyFont="1" applyNumberFormat="1">
      <alignment horizontal="center" vertical="bottom"/>
    </xf>
    <xf borderId="0" fillId="51" fontId="10" numFmtId="49" xfId="0" applyAlignment="1" applyFill="1" applyFont="1" applyNumberFormat="1">
      <alignment horizontal="center" readingOrder="0" vertical="bottom"/>
    </xf>
    <xf borderId="0" fillId="51" fontId="10" numFmtId="164" xfId="0" applyAlignment="1" applyFont="1" applyNumberFormat="1">
      <alignment horizontal="center" vertical="bottom"/>
    </xf>
    <xf borderId="0" fillId="52" fontId="10" numFmtId="49" xfId="0" applyAlignment="1" applyFill="1" applyFont="1" applyNumberFormat="1">
      <alignment horizontal="center" readingOrder="0" vertical="bottom"/>
    </xf>
    <xf borderId="0" fillId="52" fontId="10" numFmtId="164" xfId="0" applyAlignment="1" applyFont="1" applyNumberFormat="1">
      <alignment horizontal="center" vertical="bottom"/>
    </xf>
    <xf borderId="0" fillId="53" fontId="10" numFmtId="0" xfId="0" applyAlignment="1" applyFill="1" applyFont="1">
      <alignment horizontal="center" readingOrder="0" vertical="bottom"/>
    </xf>
    <xf borderId="0" fillId="53" fontId="10" numFmtId="49" xfId="0" applyAlignment="1" applyFont="1" applyNumberFormat="1">
      <alignment horizontal="center" vertical="bottom"/>
    </xf>
    <xf borderId="0" fillId="53" fontId="10" numFmtId="164" xfId="0" applyAlignment="1" applyFont="1" applyNumberFormat="1">
      <alignment horizontal="center" vertical="bottom"/>
    </xf>
    <xf borderId="0" fillId="50" fontId="14" numFmtId="49" xfId="0" applyAlignment="1" applyFont="1" applyNumberFormat="1">
      <alignment horizontal="center" readingOrder="0" vertical="bottom"/>
    </xf>
    <xf borderId="0" fillId="50" fontId="14" numFmtId="164" xfId="0" applyAlignment="1" applyFont="1" applyNumberFormat="1">
      <alignment horizontal="center" readingOrder="0" vertical="bottom"/>
    </xf>
    <xf borderId="0" fillId="51" fontId="18" numFmtId="49" xfId="0" applyAlignment="1" applyFont="1" applyNumberFormat="1">
      <alignment horizontal="center" readingOrder="0" vertical="bottom"/>
    </xf>
    <xf borderId="0" fillId="51" fontId="18" numFmtId="164" xfId="0" applyAlignment="1" applyFont="1" applyNumberFormat="1">
      <alignment horizontal="center" readingOrder="0" vertical="bottom"/>
    </xf>
    <xf borderId="0" fillId="52" fontId="18" numFmtId="49" xfId="0" applyAlignment="1" applyFont="1" applyNumberFormat="1">
      <alignment horizontal="center" readingOrder="0" vertical="bottom"/>
    </xf>
    <xf borderId="0" fillId="52" fontId="18" numFmtId="164" xfId="0" applyAlignment="1" applyFont="1" applyNumberFormat="1">
      <alignment horizontal="center" readingOrder="0" vertical="bottom"/>
    </xf>
    <xf borderId="0" fillId="53" fontId="14" numFmtId="49" xfId="0" applyAlignment="1" applyFont="1" applyNumberFormat="1">
      <alignment horizontal="center" readingOrder="0" vertical="bottom"/>
    </xf>
    <xf borderId="0" fillId="53" fontId="14" numFmtId="164" xfId="0" applyAlignment="1" applyFont="1" applyNumberFormat="1">
      <alignment horizontal="center" readingOrder="0" vertical="bottom"/>
    </xf>
    <xf borderId="0" fillId="51" fontId="14" numFmtId="49" xfId="0" applyAlignment="1" applyFont="1" applyNumberFormat="1">
      <alignment horizontal="center" readingOrder="0" vertical="bottom"/>
    </xf>
    <xf borderId="0" fillId="51" fontId="14" numFmtId="49" xfId="0" applyAlignment="1" applyFont="1" applyNumberFormat="1">
      <alignment horizontal="right" readingOrder="0" vertical="bottom"/>
    </xf>
    <xf borderId="0" fillId="51" fontId="14" numFmtId="164" xfId="0" applyAlignment="1" applyFont="1" applyNumberFormat="1">
      <alignment horizontal="center" readingOrder="0" vertical="bottom"/>
    </xf>
    <xf borderId="0" fillId="52" fontId="14" numFmtId="49" xfId="0" applyAlignment="1" applyFont="1" applyNumberFormat="1">
      <alignment horizontal="center" readingOrder="0" vertical="bottom"/>
    </xf>
    <xf borderId="0" fillId="52" fontId="14" numFmtId="164" xfId="0" applyAlignment="1" applyFont="1" applyNumberFormat="1">
      <alignment horizontal="center" readingOrder="0" vertical="bottom"/>
    </xf>
    <xf borderId="0" fillId="50" fontId="18" numFmtId="164" xfId="0" applyAlignment="1" applyFont="1" applyNumberFormat="1">
      <alignment horizontal="center" readingOrder="0" vertical="bottom"/>
    </xf>
    <xf borderId="0" fillId="53" fontId="18" numFmtId="49" xfId="0" applyAlignment="1" applyFont="1" applyNumberFormat="1">
      <alignment horizontal="center" readingOrder="0" vertical="bottom"/>
    </xf>
    <xf borderId="0" fillId="53" fontId="18" numFmtId="164" xfId="0" applyAlignment="1" applyFont="1" applyNumberFormat="1">
      <alignment horizontal="center" readingOrder="0" vertical="bottom"/>
    </xf>
    <xf borderId="0" fillId="54" fontId="68" numFmtId="49" xfId="0" applyAlignment="1" applyFill="1" applyFont="1" applyNumberFormat="1">
      <alignment horizontal="center" readingOrder="0" vertical="bottom"/>
    </xf>
    <xf borderId="0" fillId="54" fontId="68" numFmtId="164" xfId="0" applyAlignment="1" applyFont="1" applyNumberFormat="1">
      <alignment horizontal="center" vertical="bottom"/>
    </xf>
    <xf borderId="0" fillId="55" fontId="10" numFmtId="49" xfId="0" applyAlignment="1" applyFill="1" applyFont="1" applyNumberFormat="1">
      <alignment horizontal="center" readingOrder="0" vertical="bottom"/>
    </xf>
    <xf borderId="0" fillId="55" fontId="10" numFmtId="49" xfId="0" applyAlignment="1" applyFont="1" applyNumberFormat="1">
      <alignment horizontal="center" vertical="bottom"/>
    </xf>
    <xf borderId="0" fillId="55" fontId="10" numFmtId="164" xfId="0" applyAlignment="1" applyFont="1" applyNumberFormat="1">
      <alignment horizontal="center" vertical="bottom"/>
    </xf>
    <xf borderId="0" fillId="56" fontId="10" numFmtId="49" xfId="0" applyAlignment="1" applyFill="1" applyFont="1" applyNumberFormat="1">
      <alignment horizontal="center" readingOrder="0" vertical="bottom"/>
    </xf>
    <xf borderId="0" fillId="56" fontId="10" numFmtId="164" xfId="0" applyAlignment="1" applyFont="1" applyNumberFormat="1">
      <alignment horizontal="center" vertical="bottom"/>
    </xf>
    <xf borderId="0" fillId="57" fontId="10" numFmtId="49" xfId="0" applyAlignment="1" applyFill="1" applyFont="1" applyNumberFormat="1">
      <alignment horizontal="center" readingOrder="0" vertical="bottom"/>
    </xf>
    <xf borderId="0" fillId="57" fontId="10" numFmtId="164" xfId="0" applyAlignment="1" applyFont="1" applyNumberFormat="1">
      <alignment horizontal="center" vertical="bottom"/>
    </xf>
    <xf borderId="0" fillId="54" fontId="71" numFmtId="49" xfId="0" applyAlignment="1" applyFont="1" applyNumberFormat="1">
      <alignment horizontal="center" readingOrder="0" vertical="bottom"/>
    </xf>
    <xf borderId="0" fillId="54" fontId="71" numFmtId="164" xfId="0" applyAlignment="1" applyFont="1" applyNumberFormat="1">
      <alignment horizontal="center" readingOrder="0" vertical="bottom"/>
    </xf>
    <xf borderId="0" fillId="55" fontId="14" numFmtId="49" xfId="0" applyAlignment="1" applyFont="1" applyNumberFormat="1">
      <alignment horizontal="center" readingOrder="0" vertical="bottom"/>
    </xf>
    <xf borderId="0" fillId="55" fontId="14" numFmtId="164" xfId="0" applyAlignment="1" applyFont="1" applyNumberFormat="1">
      <alignment horizontal="center" readingOrder="0" vertical="bottom"/>
    </xf>
    <xf borderId="0" fillId="56" fontId="14" numFmtId="49" xfId="0" applyAlignment="1" applyFont="1" applyNumberFormat="1">
      <alignment horizontal="center" readingOrder="0" vertical="bottom"/>
    </xf>
    <xf borderId="0" fillId="56" fontId="14" numFmtId="164" xfId="0" applyAlignment="1" applyFont="1" applyNumberFormat="1">
      <alignment horizontal="center" readingOrder="0" vertical="bottom"/>
    </xf>
    <xf borderId="0" fillId="57" fontId="14" numFmtId="49" xfId="0" applyAlignment="1" applyFont="1" applyNumberFormat="1">
      <alignment horizontal="center" readingOrder="0" vertical="bottom"/>
    </xf>
    <xf borderId="0" fillId="57" fontId="14" numFmtId="164" xfId="0" applyAlignment="1" applyFont="1" applyNumberFormat="1">
      <alignment horizontal="center" readingOrder="0" vertical="bottom"/>
    </xf>
    <xf borderId="0" fillId="55" fontId="18" numFmtId="49" xfId="0" applyAlignment="1" applyFont="1" applyNumberFormat="1">
      <alignment horizontal="center" readingOrder="0" vertical="bottom"/>
    </xf>
    <xf borderId="0" fillId="55" fontId="18" numFmtId="164" xfId="0" applyAlignment="1" applyFont="1" applyNumberFormat="1">
      <alignment horizontal="center" readingOrder="0" vertical="bottom"/>
    </xf>
    <xf borderId="0" fillId="56" fontId="18" numFmtId="49" xfId="0" applyAlignment="1" applyFont="1" applyNumberFormat="1">
      <alignment horizontal="center" readingOrder="0" vertical="bottom"/>
    </xf>
    <xf borderId="0" fillId="56" fontId="14" numFmtId="49" xfId="0" applyAlignment="1" applyFont="1" applyNumberFormat="1">
      <alignment horizontal="center" vertical="bottom"/>
    </xf>
    <xf borderId="0" fillId="56" fontId="14" numFmtId="164" xfId="0" applyAlignment="1" applyFont="1" applyNumberFormat="1">
      <alignment horizontal="center" vertical="bottom"/>
    </xf>
    <xf borderId="0" fillId="12" fontId="10" numFmtId="49" xfId="0" applyAlignment="1" applyFont="1" applyNumberFormat="1">
      <alignment horizontal="center" readingOrder="0" vertical="bottom"/>
    </xf>
    <xf borderId="0" fillId="12" fontId="10" numFmtId="164" xfId="0" applyAlignment="1" applyFont="1" applyNumberFormat="1">
      <alignment horizontal="center" vertical="bottom"/>
    </xf>
    <xf borderId="0" fillId="58" fontId="10" numFmtId="49" xfId="0" applyAlignment="1" applyFill="1" applyFont="1" applyNumberFormat="1">
      <alignment horizontal="center" readingOrder="0" vertical="bottom"/>
    </xf>
    <xf borderId="0" fillId="58" fontId="10" numFmtId="164" xfId="0" applyAlignment="1" applyFont="1" applyNumberFormat="1">
      <alignment horizontal="center" vertical="bottom"/>
    </xf>
    <xf borderId="0" fillId="59" fontId="10" numFmtId="49" xfId="0" applyAlignment="1" applyFill="1" applyFont="1" applyNumberFormat="1">
      <alignment horizontal="center" readingOrder="0" vertical="bottom"/>
    </xf>
    <xf borderId="0" fillId="59" fontId="10" numFmtId="49" xfId="0" applyAlignment="1" applyFont="1" applyNumberFormat="1">
      <alignment horizontal="center" vertical="bottom"/>
    </xf>
    <xf borderId="0" fillId="59" fontId="10" numFmtId="164" xfId="0" applyAlignment="1" applyFont="1" applyNumberFormat="1">
      <alignment horizontal="center" vertical="bottom"/>
    </xf>
    <xf borderId="0" fillId="60" fontId="22" numFmtId="49" xfId="0" applyAlignment="1" applyFill="1" applyFont="1" applyNumberFormat="1">
      <alignment horizontal="center" readingOrder="0" vertical="bottom"/>
    </xf>
    <xf borderId="0" fillId="60" fontId="22" numFmtId="164" xfId="0" applyAlignment="1" applyFont="1" applyNumberFormat="1">
      <alignment horizontal="center" vertical="bottom"/>
    </xf>
    <xf borderId="0" fillId="12" fontId="14" numFmtId="164" xfId="0" applyAlignment="1" applyFont="1" applyNumberFormat="1">
      <alignment horizontal="center" readingOrder="0" vertical="bottom"/>
    </xf>
    <xf borderId="0" fillId="58" fontId="14" numFmtId="49" xfId="0" applyAlignment="1" applyFont="1" applyNumberFormat="1">
      <alignment horizontal="center" readingOrder="0" vertical="bottom"/>
    </xf>
    <xf borderId="0" fillId="58" fontId="14" numFmtId="164" xfId="0" applyAlignment="1" applyFont="1" applyNumberFormat="1">
      <alignment horizontal="center" readingOrder="0" vertical="bottom"/>
    </xf>
    <xf borderId="0" fillId="59" fontId="14" numFmtId="49" xfId="0" applyAlignment="1" applyFont="1" applyNumberFormat="1">
      <alignment horizontal="center" readingOrder="0" vertical="bottom"/>
    </xf>
    <xf borderId="0" fillId="59" fontId="14" numFmtId="164" xfId="0" applyAlignment="1" applyFont="1" applyNumberFormat="1">
      <alignment horizontal="center" readingOrder="0" vertical="bottom"/>
    </xf>
    <xf borderId="0" fillId="60" fontId="25" numFmtId="49" xfId="0" applyAlignment="1" applyFont="1" applyNumberFormat="1">
      <alignment horizontal="center" readingOrder="0" vertical="bottom"/>
    </xf>
    <xf borderId="0" fillId="60" fontId="25" numFmtId="164" xfId="0" applyAlignment="1" applyFont="1" applyNumberFormat="1">
      <alignment horizontal="center" readingOrder="0" vertical="bottom"/>
    </xf>
    <xf borderId="0" fillId="12" fontId="18" numFmtId="49" xfId="0" applyAlignment="1" applyFont="1" applyNumberFormat="1">
      <alignment horizontal="center" readingOrder="0" vertical="bottom"/>
    </xf>
    <xf borderId="0" fillId="12" fontId="18" numFmtId="164" xfId="0" applyAlignment="1" applyFont="1" applyNumberFormat="1">
      <alignment horizontal="center" readingOrder="0" vertical="bottom"/>
    </xf>
    <xf borderId="0" fillId="58" fontId="14" numFmtId="49" xfId="0" applyAlignment="1" applyFont="1" applyNumberFormat="1">
      <alignment horizontal="center" vertical="bottom"/>
    </xf>
    <xf borderId="0" fillId="58" fontId="14" numFmtId="164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5.13"/>
    <col customWidth="1" min="4" max="4" width="25.13"/>
    <col customWidth="1" min="5" max="5" width="5.75"/>
    <col customWidth="1" min="6" max="6" width="5.13"/>
    <col customWidth="1" min="7" max="7" width="25.13"/>
    <col customWidth="1" min="8" max="9" width="5.13"/>
    <col customWidth="1" min="10" max="10" width="25.13"/>
    <col customWidth="1" min="11" max="12" width="5.13"/>
  </cols>
  <sheetData>
    <row r="1">
      <c r="A1" s="1" t="s">
        <v>0</v>
      </c>
      <c r="B1" s="2" t="s">
        <v>1</v>
      </c>
      <c r="C1" s="3">
        <f>SUM(C2:C11)</f>
        <v>95</v>
      </c>
      <c r="D1" s="4" t="s">
        <v>2</v>
      </c>
      <c r="E1" s="4" t="s">
        <v>1</v>
      </c>
      <c r="F1" s="5">
        <f>SUM(F2:F11)</f>
        <v>95</v>
      </c>
      <c r="G1" s="6" t="s">
        <v>3</v>
      </c>
      <c r="H1" s="6" t="s">
        <v>1</v>
      </c>
      <c r="I1" s="7">
        <f>SUM(I2:I11)</f>
        <v>95</v>
      </c>
      <c r="J1" s="8" t="s">
        <v>4</v>
      </c>
      <c r="K1" s="9" t="s">
        <v>1</v>
      </c>
      <c r="L1" s="10">
        <f>SUM(L2:L11)</f>
        <v>95</v>
      </c>
    </row>
    <row r="2">
      <c r="A2" s="11" t="s">
        <v>5</v>
      </c>
      <c r="B2" s="11" t="s">
        <v>6</v>
      </c>
      <c r="C2" s="12">
        <v>27.0</v>
      </c>
      <c r="D2" s="13" t="s">
        <v>7</v>
      </c>
      <c r="E2" s="13" t="s">
        <v>8</v>
      </c>
      <c r="F2" s="14">
        <v>6.0</v>
      </c>
      <c r="G2" s="15" t="s">
        <v>9</v>
      </c>
      <c r="H2" s="15" t="s">
        <v>10</v>
      </c>
      <c r="I2" s="16">
        <v>45.0</v>
      </c>
      <c r="J2" s="17" t="s">
        <v>11</v>
      </c>
      <c r="K2" s="17" t="s">
        <v>12</v>
      </c>
      <c r="L2" s="18">
        <v>42.0</v>
      </c>
    </row>
    <row r="3">
      <c r="A3" s="11" t="s">
        <v>13</v>
      </c>
      <c r="B3" s="11" t="s">
        <v>10</v>
      </c>
      <c r="C3" s="12">
        <v>11.0</v>
      </c>
      <c r="D3" s="13" t="s">
        <v>14</v>
      </c>
      <c r="E3" s="13" t="s">
        <v>15</v>
      </c>
      <c r="F3" s="14">
        <v>35.0</v>
      </c>
      <c r="G3" s="15" t="s">
        <v>16</v>
      </c>
      <c r="H3" s="15" t="s">
        <v>17</v>
      </c>
      <c r="I3" s="16">
        <v>22.0</v>
      </c>
      <c r="J3" s="17" t="s">
        <v>18</v>
      </c>
      <c r="K3" s="17" t="s">
        <v>19</v>
      </c>
      <c r="L3" s="18">
        <v>6.0</v>
      </c>
    </row>
    <row r="4">
      <c r="A4" s="19" t="s">
        <v>20</v>
      </c>
      <c r="B4" s="19" t="s">
        <v>21</v>
      </c>
      <c r="C4" s="20">
        <v>38.0</v>
      </c>
      <c r="D4" s="13" t="s">
        <v>22</v>
      </c>
      <c r="E4" s="13" t="s">
        <v>23</v>
      </c>
      <c r="F4" s="14">
        <v>3.0</v>
      </c>
      <c r="G4" s="21" t="s">
        <v>24</v>
      </c>
      <c r="H4" s="21" t="s">
        <v>25</v>
      </c>
      <c r="I4" s="22">
        <v>10.0</v>
      </c>
      <c r="J4" s="17" t="s">
        <v>26</v>
      </c>
      <c r="K4" s="17" t="s">
        <v>8</v>
      </c>
      <c r="L4" s="18">
        <v>15.0</v>
      </c>
    </row>
    <row r="5">
      <c r="A5" s="19" t="s">
        <v>27</v>
      </c>
      <c r="B5" s="19" t="s">
        <v>23</v>
      </c>
      <c r="C5" s="20">
        <v>2.0</v>
      </c>
      <c r="D5" s="13" t="s">
        <v>28</v>
      </c>
      <c r="E5" s="13" t="s">
        <v>29</v>
      </c>
      <c r="F5" s="14">
        <v>38.0</v>
      </c>
      <c r="G5" s="21" t="s">
        <v>30</v>
      </c>
      <c r="H5" s="21" t="s">
        <v>31</v>
      </c>
      <c r="I5" s="22">
        <v>3.0</v>
      </c>
      <c r="J5" s="17" t="s">
        <v>32</v>
      </c>
      <c r="K5" s="17" t="s">
        <v>25</v>
      </c>
      <c r="L5" s="18">
        <v>19.0</v>
      </c>
    </row>
    <row r="6">
      <c r="A6" s="11" t="s">
        <v>33</v>
      </c>
      <c r="B6" s="11" t="s">
        <v>34</v>
      </c>
      <c r="C6" s="12">
        <v>11.0</v>
      </c>
      <c r="D6" s="13" t="s">
        <v>35</v>
      </c>
      <c r="E6" s="13" t="s">
        <v>36</v>
      </c>
      <c r="F6" s="14">
        <v>11.0</v>
      </c>
      <c r="G6" s="21" t="s">
        <v>37</v>
      </c>
      <c r="H6" s="21" t="s">
        <v>12</v>
      </c>
      <c r="I6" s="22">
        <v>11.0</v>
      </c>
      <c r="J6" s="17" t="s">
        <v>38</v>
      </c>
      <c r="K6" s="17" t="s">
        <v>25</v>
      </c>
      <c r="L6" s="18">
        <v>5.0</v>
      </c>
    </row>
    <row r="7">
      <c r="A7" s="11" t="s">
        <v>39</v>
      </c>
      <c r="B7" s="11" t="s">
        <v>40</v>
      </c>
      <c r="C7" s="12">
        <v>1.0</v>
      </c>
      <c r="D7" s="13" t="s">
        <v>41</v>
      </c>
      <c r="E7" s="13" t="s">
        <v>42</v>
      </c>
      <c r="F7" s="14">
        <v>0.0</v>
      </c>
      <c r="G7" s="21" t="s">
        <v>43</v>
      </c>
      <c r="H7" s="21" t="s">
        <v>40</v>
      </c>
      <c r="I7" s="22">
        <v>0.0</v>
      </c>
      <c r="J7" s="17" t="s">
        <v>44</v>
      </c>
      <c r="K7" s="17" t="s">
        <v>45</v>
      </c>
      <c r="L7" s="18">
        <v>4.0</v>
      </c>
    </row>
    <row r="8">
      <c r="A8" s="11" t="s">
        <v>46</v>
      </c>
      <c r="B8" s="11" t="s">
        <v>47</v>
      </c>
      <c r="C8" s="12">
        <v>1.0</v>
      </c>
      <c r="D8" s="13" t="s">
        <v>48</v>
      </c>
      <c r="E8" s="13" t="s">
        <v>40</v>
      </c>
      <c r="F8" s="14">
        <v>-1.0</v>
      </c>
      <c r="G8" s="21" t="s">
        <v>49</v>
      </c>
      <c r="H8" s="21" t="s">
        <v>50</v>
      </c>
      <c r="I8" s="22">
        <v>2.0</v>
      </c>
      <c r="J8" s="17" t="s">
        <v>51</v>
      </c>
      <c r="K8" s="17" t="s">
        <v>52</v>
      </c>
      <c r="L8" s="18">
        <v>-1.0</v>
      </c>
    </row>
    <row r="9">
      <c r="A9" s="19" t="s">
        <v>53</v>
      </c>
      <c r="B9" s="19" t="s">
        <v>54</v>
      </c>
      <c r="C9" s="20">
        <v>2.0</v>
      </c>
      <c r="D9" s="13" t="s">
        <v>55</v>
      </c>
      <c r="E9" s="13" t="s">
        <v>56</v>
      </c>
      <c r="F9" s="14">
        <v>2.0</v>
      </c>
      <c r="G9" s="21" t="s">
        <v>57</v>
      </c>
      <c r="H9" s="21" t="s">
        <v>23</v>
      </c>
      <c r="I9" s="22">
        <v>1.0</v>
      </c>
      <c r="J9" s="17" t="s">
        <v>58</v>
      </c>
      <c r="K9" s="17" t="s">
        <v>59</v>
      </c>
      <c r="L9" s="18">
        <v>3.0</v>
      </c>
    </row>
    <row r="10">
      <c r="A10" s="19" t="s">
        <v>60</v>
      </c>
      <c r="B10" s="19" t="s">
        <v>61</v>
      </c>
      <c r="C10" s="20">
        <v>2.0</v>
      </c>
      <c r="D10" s="13" t="s">
        <v>62</v>
      </c>
      <c r="E10" s="13" t="s">
        <v>56</v>
      </c>
      <c r="F10" s="14">
        <v>0.0</v>
      </c>
      <c r="G10" s="21" t="s">
        <v>63</v>
      </c>
      <c r="H10" s="21" t="s">
        <v>64</v>
      </c>
      <c r="I10" s="22">
        <v>1.0</v>
      </c>
      <c r="J10" s="17" t="s">
        <v>65</v>
      </c>
      <c r="K10" s="17" t="s">
        <v>66</v>
      </c>
      <c r="L10" s="18">
        <v>-1.0</v>
      </c>
    </row>
    <row r="11">
      <c r="A11" s="11" t="s">
        <v>67</v>
      </c>
      <c r="B11" s="11" t="s">
        <v>68</v>
      </c>
      <c r="C11" s="12">
        <v>0.0</v>
      </c>
      <c r="D11" s="13" t="s">
        <v>69</v>
      </c>
      <c r="E11" s="13" t="s">
        <v>50</v>
      </c>
      <c r="F11" s="14">
        <v>1.0</v>
      </c>
      <c r="G11" s="21" t="s">
        <v>70</v>
      </c>
      <c r="H11" s="21" t="s">
        <v>71</v>
      </c>
      <c r="I11" s="22">
        <v>0.0</v>
      </c>
      <c r="J11" s="17" t="s">
        <v>72</v>
      </c>
      <c r="K11" s="17" t="s">
        <v>61</v>
      </c>
      <c r="L11" s="18">
        <v>3.0</v>
      </c>
    </row>
    <row r="12">
      <c r="A12" s="23" t="s">
        <v>73</v>
      </c>
      <c r="B12" s="23" t="s">
        <v>1</v>
      </c>
      <c r="C12" s="24">
        <f>SUM(C13:C22)</f>
        <v>94</v>
      </c>
      <c r="D12" s="25" t="s">
        <v>74</v>
      </c>
      <c r="E12" s="25" t="s">
        <v>1</v>
      </c>
      <c r="F12" s="26">
        <f>SUM(F13:F22)</f>
        <v>95</v>
      </c>
      <c r="G12" s="27" t="s">
        <v>75</v>
      </c>
      <c r="H12" s="27" t="s">
        <v>1</v>
      </c>
      <c r="I12" s="28">
        <f>SUM(I13:I22)</f>
        <v>95</v>
      </c>
      <c r="J12" s="29" t="s">
        <v>76</v>
      </c>
      <c r="K12" s="29" t="s">
        <v>1</v>
      </c>
      <c r="L12" s="30">
        <f>SUM(L13:L22)</f>
        <v>92</v>
      </c>
    </row>
    <row r="13">
      <c r="A13" s="31" t="s">
        <v>77</v>
      </c>
      <c r="B13" s="31" t="s">
        <v>8</v>
      </c>
      <c r="C13" s="32">
        <v>11.0</v>
      </c>
      <c r="D13" s="33" t="s">
        <v>78</v>
      </c>
      <c r="E13" s="33" t="s">
        <v>79</v>
      </c>
      <c r="F13" s="34">
        <v>10.0</v>
      </c>
      <c r="G13" s="35" t="s">
        <v>80</v>
      </c>
      <c r="H13" s="35" t="s">
        <v>81</v>
      </c>
      <c r="I13" s="36">
        <v>12.0</v>
      </c>
      <c r="J13" s="37" t="s">
        <v>82</v>
      </c>
      <c r="K13" s="37" t="s">
        <v>8</v>
      </c>
      <c r="L13" s="38">
        <v>13.0</v>
      </c>
    </row>
    <row r="14">
      <c r="A14" s="39" t="s">
        <v>83</v>
      </c>
      <c r="B14" s="31" t="s">
        <v>84</v>
      </c>
      <c r="C14" s="40">
        <v>18.0</v>
      </c>
      <c r="D14" s="33" t="s">
        <v>85</v>
      </c>
      <c r="E14" s="33" t="s">
        <v>86</v>
      </c>
      <c r="F14" s="34">
        <v>34.0</v>
      </c>
      <c r="G14" s="35" t="s">
        <v>87</v>
      </c>
      <c r="H14" s="35" t="s">
        <v>17</v>
      </c>
      <c r="I14" s="36">
        <v>22.0</v>
      </c>
      <c r="J14" s="37" t="s">
        <v>88</v>
      </c>
      <c r="K14" s="37" t="s">
        <v>52</v>
      </c>
      <c r="L14" s="38">
        <v>11.0</v>
      </c>
    </row>
    <row r="15">
      <c r="A15" s="31" t="s">
        <v>89</v>
      </c>
      <c r="B15" s="31" t="s">
        <v>8</v>
      </c>
      <c r="C15" s="32">
        <v>34.0</v>
      </c>
      <c r="D15" s="33" t="s">
        <v>90</v>
      </c>
      <c r="E15" s="33" t="s">
        <v>91</v>
      </c>
      <c r="F15" s="34">
        <v>7.0</v>
      </c>
      <c r="G15" s="35" t="s">
        <v>92</v>
      </c>
      <c r="H15" s="35" t="s">
        <v>93</v>
      </c>
      <c r="I15" s="36">
        <v>15.0</v>
      </c>
      <c r="J15" s="37" t="s">
        <v>94</v>
      </c>
      <c r="K15" s="37" t="s">
        <v>95</v>
      </c>
      <c r="L15" s="38">
        <v>19.0</v>
      </c>
    </row>
    <row r="16">
      <c r="A16" s="31" t="s">
        <v>96</v>
      </c>
      <c r="B16" s="31" t="s">
        <v>31</v>
      </c>
      <c r="C16" s="32">
        <v>4.0</v>
      </c>
      <c r="D16" s="33" t="s">
        <v>97</v>
      </c>
      <c r="E16" s="33" t="s">
        <v>98</v>
      </c>
      <c r="F16" s="34">
        <v>10.0</v>
      </c>
      <c r="G16" s="35" t="s">
        <v>99</v>
      </c>
      <c r="H16" s="35" t="s">
        <v>12</v>
      </c>
      <c r="I16" s="36">
        <v>7.0</v>
      </c>
      <c r="J16" s="37" t="s">
        <v>100</v>
      </c>
      <c r="K16" s="37" t="s">
        <v>8</v>
      </c>
      <c r="L16" s="38">
        <v>35.0</v>
      </c>
    </row>
    <row r="17">
      <c r="A17" s="31" t="s">
        <v>101</v>
      </c>
      <c r="B17" s="31" t="s">
        <v>50</v>
      </c>
      <c r="C17" s="32">
        <v>20.0</v>
      </c>
      <c r="D17" s="33" t="s">
        <v>102</v>
      </c>
      <c r="E17" s="33" t="s">
        <v>31</v>
      </c>
      <c r="F17" s="34">
        <v>22.0</v>
      </c>
      <c r="G17" s="35" t="s">
        <v>103</v>
      </c>
      <c r="H17" s="35" t="s">
        <v>98</v>
      </c>
      <c r="I17" s="36">
        <v>35.0</v>
      </c>
      <c r="J17" s="37" t="s">
        <v>104</v>
      </c>
      <c r="K17" s="37" t="s">
        <v>105</v>
      </c>
      <c r="L17" s="38">
        <v>10.0</v>
      </c>
    </row>
    <row r="18">
      <c r="A18" s="31" t="s">
        <v>106</v>
      </c>
      <c r="B18" s="31" t="s">
        <v>66</v>
      </c>
      <c r="C18" s="32">
        <v>2.0</v>
      </c>
      <c r="D18" s="33" t="s">
        <v>107</v>
      </c>
      <c r="E18" s="33" t="s">
        <v>29</v>
      </c>
      <c r="F18" s="34">
        <v>1.0</v>
      </c>
      <c r="G18" s="35" t="s">
        <v>108</v>
      </c>
      <c r="H18" s="35" t="s">
        <v>42</v>
      </c>
      <c r="I18" s="36">
        <v>1.0</v>
      </c>
      <c r="J18" s="37" t="s">
        <v>109</v>
      </c>
      <c r="K18" s="37" t="s">
        <v>42</v>
      </c>
      <c r="L18" s="38">
        <v>0.0</v>
      </c>
    </row>
    <row r="19">
      <c r="A19" s="31" t="s">
        <v>110</v>
      </c>
      <c r="B19" s="31" t="s">
        <v>6</v>
      </c>
      <c r="C19" s="32">
        <v>1.0</v>
      </c>
      <c r="D19" s="33" t="s">
        <v>111</v>
      </c>
      <c r="E19" s="33" t="s">
        <v>86</v>
      </c>
      <c r="F19" s="34">
        <v>5.0</v>
      </c>
      <c r="G19" s="35" t="s">
        <v>112</v>
      </c>
      <c r="H19" s="35" t="s">
        <v>6</v>
      </c>
      <c r="I19" s="36">
        <v>2.0</v>
      </c>
      <c r="J19" s="37" t="s">
        <v>113</v>
      </c>
      <c r="K19" s="37" t="s">
        <v>54</v>
      </c>
      <c r="L19" s="38">
        <v>2.0</v>
      </c>
    </row>
    <row r="20">
      <c r="A20" s="39" t="s">
        <v>114</v>
      </c>
      <c r="B20" s="39" t="s">
        <v>31</v>
      </c>
      <c r="C20" s="40">
        <v>1.0</v>
      </c>
      <c r="D20" s="33" t="s">
        <v>115</v>
      </c>
      <c r="E20" s="33" t="s">
        <v>116</v>
      </c>
      <c r="F20" s="34">
        <v>2.0</v>
      </c>
      <c r="G20" s="35" t="s">
        <v>117</v>
      </c>
      <c r="H20" s="35" t="s">
        <v>23</v>
      </c>
      <c r="I20" s="36">
        <v>1.0</v>
      </c>
      <c r="J20" s="37" t="s">
        <v>118</v>
      </c>
      <c r="K20" s="37" t="s">
        <v>6</v>
      </c>
      <c r="L20" s="38">
        <v>2.0</v>
      </c>
    </row>
    <row r="21">
      <c r="A21" s="39" t="s">
        <v>119</v>
      </c>
      <c r="B21" s="31" t="s">
        <v>15</v>
      </c>
      <c r="C21" s="32">
        <v>2.0</v>
      </c>
      <c r="D21" s="33" t="s">
        <v>120</v>
      </c>
      <c r="E21" s="33" t="s">
        <v>121</v>
      </c>
      <c r="F21" s="34">
        <v>3.0</v>
      </c>
      <c r="G21" s="35" t="s">
        <v>122</v>
      </c>
      <c r="H21" s="35" t="s">
        <v>10</v>
      </c>
      <c r="I21" s="36">
        <v>-1.0</v>
      </c>
      <c r="J21" s="37" t="s">
        <v>123</v>
      </c>
      <c r="K21" s="37" t="s">
        <v>50</v>
      </c>
      <c r="L21" s="38">
        <v>-1.0</v>
      </c>
    </row>
    <row r="22">
      <c r="A22" s="31" t="s">
        <v>124</v>
      </c>
      <c r="B22" s="31" t="s">
        <v>31</v>
      </c>
      <c r="C22" s="32">
        <v>1.0</v>
      </c>
      <c r="D22" s="33" t="s">
        <v>125</v>
      </c>
      <c r="E22" s="33" t="s">
        <v>29</v>
      </c>
      <c r="F22" s="34">
        <v>1.0</v>
      </c>
      <c r="G22" s="35" t="s">
        <v>126</v>
      </c>
      <c r="H22" s="35" t="s">
        <v>40</v>
      </c>
      <c r="I22" s="36">
        <v>1.0</v>
      </c>
      <c r="J22" s="37" t="s">
        <v>127</v>
      </c>
      <c r="K22" s="37" t="s">
        <v>59</v>
      </c>
      <c r="L22" s="38">
        <v>1.0</v>
      </c>
    </row>
    <row r="23">
      <c r="A23" s="41" t="s">
        <v>128</v>
      </c>
      <c r="B23" s="42" t="s">
        <v>1</v>
      </c>
      <c r="C23" s="43">
        <f>SUM(C24:C33)</f>
        <v>91</v>
      </c>
      <c r="D23" s="44" t="s">
        <v>129</v>
      </c>
      <c r="E23" s="45" t="s">
        <v>1</v>
      </c>
      <c r="F23" s="46">
        <f>SUM(F24:F33)</f>
        <v>94</v>
      </c>
      <c r="G23" s="47" t="s">
        <v>130</v>
      </c>
      <c r="H23" s="48" t="s">
        <v>1</v>
      </c>
      <c r="I23" s="49">
        <f>SUM(I24:I33)</f>
        <v>94</v>
      </c>
      <c r="J23" s="50" t="s">
        <v>131</v>
      </c>
      <c r="K23" s="50" t="s">
        <v>1</v>
      </c>
      <c r="L23" s="51">
        <f>SUM(L24:L33)</f>
        <v>95</v>
      </c>
    </row>
    <row r="24">
      <c r="A24" s="52" t="s">
        <v>132</v>
      </c>
      <c r="B24" s="52" t="s">
        <v>95</v>
      </c>
      <c r="C24" s="53">
        <v>19.0</v>
      </c>
      <c r="D24" s="54" t="s">
        <v>133</v>
      </c>
      <c r="E24" s="54" t="s">
        <v>84</v>
      </c>
      <c r="F24" s="55">
        <v>37.0</v>
      </c>
      <c r="G24" s="56" t="s">
        <v>134</v>
      </c>
      <c r="H24" s="56" t="s">
        <v>135</v>
      </c>
      <c r="I24" s="57">
        <v>36.0</v>
      </c>
      <c r="J24" s="58" t="s">
        <v>136</v>
      </c>
      <c r="K24" s="58" t="s">
        <v>59</v>
      </c>
      <c r="L24" s="59">
        <v>11.0</v>
      </c>
    </row>
    <row r="25">
      <c r="A25" s="60" t="s">
        <v>137</v>
      </c>
      <c r="B25" s="60" t="s">
        <v>45</v>
      </c>
      <c r="C25" s="61">
        <v>22.0</v>
      </c>
      <c r="D25" s="54" t="s">
        <v>138</v>
      </c>
      <c r="E25" s="54" t="s">
        <v>19</v>
      </c>
      <c r="F25" s="55">
        <v>1.0</v>
      </c>
      <c r="G25" s="56" t="s">
        <v>139</v>
      </c>
      <c r="H25" s="56" t="s">
        <v>95</v>
      </c>
      <c r="I25" s="57">
        <v>6.0</v>
      </c>
      <c r="J25" s="58" t="s">
        <v>140</v>
      </c>
      <c r="K25" s="58" t="s">
        <v>79</v>
      </c>
      <c r="L25" s="59">
        <v>6.0</v>
      </c>
    </row>
    <row r="26">
      <c r="A26" s="52" t="s">
        <v>141</v>
      </c>
      <c r="B26" s="52" t="s">
        <v>31</v>
      </c>
      <c r="C26" s="53">
        <v>3.0</v>
      </c>
      <c r="D26" s="54" t="s">
        <v>142</v>
      </c>
      <c r="E26" s="54" t="s">
        <v>143</v>
      </c>
      <c r="F26" s="55">
        <v>3.0</v>
      </c>
      <c r="G26" s="56" t="s">
        <v>144</v>
      </c>
      <c r="H26" s="56" t="s">
        <v>54</v>
      </c>
      <c r="I26" s="57">
        <v>6.0</v>
      </c>
      <c r="J26" s="58" t="s">
        <v>145</v>
      </c>
      <c r="K26" s="58" t="s">
        <v>31</v>
      </c>
      <c r="L26" s="59">
        <v>23.0</v>
      </c>
    </row>
    <row r="27">
      <c r="A27" s="52" t="s">
        <v>146</v>
      </c>
      <c r="B27" s="52" t="s">
        <v>91</v>
      </c>
      <c r="C27" s="53">
        <v>24.0</v>
      </c>
      <c r="D27" s="54" t="s">
        <v>147</v>
      </c>
      <c r="E27" s="54" t="s">
        <v>148</v>
      </c>
      <c r="F27" s="55">
        <v>19.0</v>
      </c>
      <c r="G27" s="56" t="s">
        <v>149</v>
      </c>
      <c r="H27" s="56" t="s">
        <v>29</v>
      </c>
      <c r="I27" s="57">
        <v>9.0</v>
      </c>
      <c r="J27" s="58" t="s">
        <v>150</v>
      </c>
      <c r="K27" s="58" t="s">
        <v>19</v>
      </c>
      <c r="L27" s="59">
        <v>7.0</v>
      </c>
    </row>
    <row r="28">
      <c r="A28" s="52" t="s">
        <v>151</v>
      </c>
      <c r="B28" s="52" t="s">
        <v>23</v>
      </c>
      <c r="C28" s="53">
        <v>13.0</v>
      </c>
      <c r="D28" s="54" t="s">
        <v>152</v>
      </c>
      <c r="E28" s="54" t="s">
        <v>153</v>
      </c>
      <c r="F28" s="55">
        <v>29.0</v>
      </c>
      <c r="G28" s="56" t="s">
        <v>154</v>
      </c>
      <c r="H28" s="56" t="s">
        <v>155</v>
      </c>
      <c r="I28" s="57">
        <v>31.0</v>
      </c>
      <c r="J28" s="58" t="s">
        <v>156</v>
      </c>
      <c r="K28" s="58" t="s">
        <v>148</v>
      </c>
      <c r="L28" s="59">
        <v>36.0</v>
      </c>
    </row>
    <row r="29">
      <c r="A29" s="52" t="s">
        <v>157</v>
      </c>
      <c r="B29" s="52" t="s">
        <v>52</v>
      </c>
      <c r="C29" s="53">
        <v>3.0</v>
      </c>
      <c r="D29" s="54" t="s">
        <v>158</v>
      </c>
      <c r="E29" s="54" t="s">
        <v>71</v>
      </c>
      <c r="F29" s="55">
        <v>2.0</v>
      </c>
      <c r="G29" s="56" t="s">
        <v>159</v>
      </c>
      <c r="H29" s="56" t="s">
        <v>8</v>
      </c>
      <c r="I29" s="57">
        <v>3.0</v>
      </c>
      <c r="J29" s="58" t="s">
        <v>160</v>
      </c>
      <c r="K29" s="58" t="s">
        <v>6</v>
      </c>
      <c r="L29" s="59">
        <v>4.0</v>
      </c>
    </row>
    <row r="30">
      <c r="A30" s="52" t="s">
        <v>161</v>
      </c>
      <c r="B30" s="52" t="s">
        <v>93</v>
      </c>
      <c r="C30" s="53">
        <v>2.0</v>
      </c>
      <c r="D30" s="54" t="s">
        <v>162</v>
      </c>
      <c r="E30" s="54" t="s">
        <v>47</v>
      </c>
      <c r="F30" s="55">
        <v>1.0</v>
      </c>
      <c r="G30" s="56" t="s">
        <v>163</v>
      </c>
      <c r="H30" s="56" t="s">
        <v>6</v>
      </c>
      <c r="I30" s="57">
        <v>-1.0</v>
      </c>
      <c r="J30" s="58" t="s">
        <v>164</v>
      </c>
      <c r="K30" s="58" t="s">
        <v>17</v>
      </c>
      <c r="L30" s="59">
        <v>5.0</v>
      </c>
    </row>
    <row r="31">
      <c r="A31" s="52" t="s">
        <v>165</v>
      </c>
      <c r="B31" s="52" t="s">
        <v>166</v>
      </c>
      <c r="C31" s="53">
        <v>2.0</v>
      </c>
      <c r="D31" s="54" t="s">
        <v>167</v>
      </c>
      <c r="E31" s="54" t="s">
        <v>40</v>
      </c>
      <c r="F31" s="55">
        <v>1.0</v>
      </c>
      <c r="G31" s="56" t="s">
        <v>168</v>
      </c>
      <c r="H31" s="56" t="s">
        <v>54</v>
      </c>
      <c r="I31" s="57">
        <v>2.0</v>
      </c>
      <c r="J31" s="58" t="s">
        <v>169</v>
      </c>
      <c r="K31" s="58" t="s">
        <v>50</v>
      </c>
      <c r="L31" s="59">
        <v>1.0</v>
      </c>
    </row>
    <row r="32">
      <c r="A32" s="60" t="s">
        <v>170</v>
      </c>
      <c r="B32" s="52" t="s">
        <v>71</v>
      </c>
      <c r="C32" s="61">
        <v>1.0</v>
      </c>
      <c r="D32" s="54" t="s">
        <v>171</v>
      </c>
      <c r="E32" s="54" t="s">
        <v>45</v>
      </c>
      <c r="F32" s="55">
        <v>-1.0</v>
      </c>
      <c r="G32" s="56" t="s">
        <v>172</v>
      </c>
      <c r="H32" s="56" t="s">
        <v>155</v>
      </c>
      <c r="I32" s="57">
        <v>2.0</v>
      </c>
      <c r="J32" s="58" t="s">
        <v>173</v>
      </c>
      <c r="K32" s="58" t="s">
        <v>174</v>
      </c>
      <c r="L32" s="59">
        <v>0.0</v>
      </c>
    </row>
    <row r="33">
      <c r="A33" s="52" t="s">
        <v>175</v>
      </c>
      <c r="B33" s="52" t="s">
        <v>176</v>
      </c>
      <c r="C33" s="53">
        <v>2.0</v>
      </c>
      <c r="D33" s="54" t="s">
        <v>177</v>
      </c>
      <c r="E33" s="54" t="s">
        <v>29</v>
      </c>
      <c r="F33" s="55">
        <v>2.0</v>
      </c>
      <c r="G33" s="56" t="s">
        <v>178</v>
      </c>
      <c r="H33" s="56" t="s">
        <v>6</v>
      </c>
      <c r="I33" s="57">
        <v>0.0</v>
      </c>
      <c r="J33" s="58" t="s">
        <v>179</v>
      </c>
      <c r="K33" s="58" t="s">
        <v>121</v>
      </c>
      <c r="L33" s="59">
        <v>2.0</v>
      </c>
    </row>
    <row r="34">
      <c r="A34" s="62" t="s">
        <v>180</v>
      </c>
      <c r="B34" s="62" t="s">
        <v>1</v>
      </c>
      <c r="C34" s="63">
        <f>SUM(C35:C44)</f>
        <v>95</v>
      </c>
      <c r="D34" s="64" t="s">
        <v>181</v>
      </c>
      <c r="E34" s="64" t="s">
        <v>1</v>
      </c>
      <c r="F34" s="65">
        <f>SUM(F35:F44)</f>
        <v>95</v>
      </c>
      <c r="G34" s="66" t="s">
        <v>182</v>
      </c>
      <c r="H34" s="67" t="s">
        <v>1</v>
      </c>
      <c r="I34" s="68">
        <f>SUM(I35:I44)</f>
        <v>95</v>
      </c>
      <c r="J34" s="69" t="s">
        <v>183</v>
      </c>
      <c r="K34" s="69" t="s">
        <v>1</v>
      </c>
      <c r="L34" s="70">
        <f>SUM(L35:L44)</f>
        <v>95</v>
      </c>
    </row>
    <row r="35">
      <c r="A35" s="71" t="s">
        <v>184</v>
      </c>
      <c r="B35" s="71" t="s">
        <v>185</v>
      </c>
      <c r="C35" s="72">
        <v>32.0</v>
      </c>
      <c r="D35" s="73" t="s">
        <v>186</v>
      </c>
      <c r="E35" s="73" t="s">
        <v>50</v>
      </c>
      <c r="F35" s="74">
        <v>23.0</v>
      </c>
      <c r="G35" s="75" t="s">
        <v>187</v>
      </c>
      <c r="H35" s="75" t="s">
        <v>10</v>
      </c>
      <c r="I35" s="76">
        <v>10.0</v>
      </c>
      <c r="J35" s="77" t="s">
        <v>188</v>
      </c>
      <c r="K35" s="77" t="s">
        <v>19</v>
      </c>
      <c r="L35" s="78">
        <v>32.0</v>
      </c>
    </row>
    <row r="36">
      <c r="A36" s="79" t="s">
        <v>189</v>
      </c>
      <c r="B36" s="79" t="s">
        <v>31</v>
      </c>
      <c r="C36" s="80">
        <v>6.0</v>
      </c>
      <c r="D36" s="81" t="s">
        <v>190</v>
      </c>
      <c r="E36" s="81" t="s">
        <v>66</v>
      </c>
      <c r="F36" s="82">
        <v>20.0</v>
      </c>
      <c r="G36" s="75" t="s">
        <v>191</v>
      </c>
      <c r="H36" s="75" t="s">
        <v>86</v>
      </c>
      <c r="I36" s="76">
        <v>28.0</v>
      </c>
      <c r="J36" s="77" t="s">
        <v>192</v>
      </c>
      <c r="K36" s="77" t="s">
        <v>95</v>
      </c>
      <c r="L36" s="78">
        <v>4.0</v>
      </c>
    </row>
    <row r="37">
      <c r="A37" s="83" t="s">
        <v>193</v>
      </c>
      <c r="B37" s="79" t="s">
        <v>50</v>
      </c>
      <c r="C37" s="84">
        <v>9.0</v>
      </c>
      <c r="D37" s="81" t="s">
        <v>194</v>
      </c>
      <c r="E37" s="81" t="s">
        <v>29</v>
      </c>
      <c r="F37" s="82">
        <v>10.0</v>
      </c>
      <c r="G37" s="75" t="s">
        <v>195</v>
      </c>
      <c r="H37" s="75" t="s">
        <v>47</v>
      </c>
      <c r="I37" s="76">
        <v>29.0</v>
      </c>
      <c r="J37" s="85" t="s">
        <v>196</v>
      </c>
      <c r="K37" s="77" t="s">
        <v>8</v>
      </c>
      <c r="L37" s="86">
        <v>7.0</v>
      </c>
    </row>
    <row r="38">
      <c r="A38" s="79" t="s">
        <v>197</v>
      </c>
      <c r="B38" s="79" t="s">
        <v>45</v>
      </c>
      <c r="C38" s="80">
        <v>14.0</v>
      </c>
      <c r="D38" s="81" t="s">
        <v>198</v>
      </c>
      <c r="E38" s="81" t="s">
        <v>86</v>
      </c>
      <c r="F38" s="82">
        <v>33.0</v>
      </c>
      <c r="G38" s="75" t="s">
        <v>199</v>
      </c>
      <c r="H38" s="75" t="s">
        <v>95</v>
      </c>
      <c r="I38" s="76">
        <v>14.0</v>
      </c>
      <c r="J38" s="77" t="s">
        <v>200</v>
      </c>
      <c r="K38" s="77" t="s">
        <v>95</v>
      </c>
      <c r="L38" s="78">
        <v>5.0</v>
      </c>
    </row>
    <row r="39">
      <c r="A39" s="79" t="s">
        <v>201</v>
      </c>
      <c r="B39" s="79" t="s">
        <v>31</v>
      </c>
      <c r="C39" s="80">
        <v>32.0</v>
      </c>
      <c r="D39" s="73" t="s">
        <v>202</v>
      </c>
      <c r="E39" s="73" t="s">
        <v>79</v>
      </c>
      <c r="F39" s="74">
        <v>6.0</v>
      </c>
      <c r="G39" s="75" t="s">
        <v>203</v>
      </c>
      <c r="H39" s="75" t="s">
        <v>204</v>
      </c>
      <c r="I39" s="76">
        <v>5.0</v>
      </c>
      <c r="J39" s="77" t="s">
        <v>205</v>
      </c>
      <c r="K39" s="77" t="s">
        <v>105</v>
      </c>
      <c r="L39" s="78">
        <v>39.0</v>
      </c>
    </row>
    <row r="40">
      <c r="A40" s="79" t="s">
        <v>206</v>
      </c>
      <c r="B40" s="79" t="s">
        <v>8</v>
      </c>
      <c r="C40" s="80">
        <v>1.0</v>
      </c>
      <c r="D40" s="73" t="s">
        <v>207</v>
      </c>
      <c r="E40" s="87" t="s">
        <v>71</v>
      </c>
      <c r="F40" s="74">
        <v>2.0</v>
      </c>
      <c r="G40" s="75" t="s">
        <v>208</v>
      </c>
      <c r="H40" s="75" t="s">
        <v>174</v>
      </c>
      <c r="I40" s="76">
        <v>0.0</v>
      </c>
      <c r="J40" s="77" t="s">
        <v>209</v>
      </c>
      <c r="K40" s="77" t="s">
        <v>52</v>
      </c>
      <c r="L40" s="78">
        <v>2.0</v>
      </c>
    </row>
    <row r="41">
      <c r="A41" s="83" t="s">
        <v>210</v>
      </c>
      <c r="B41" s="83" t="s">
        <v>79</v>
      </c>
      <c r="C41" s="84">
        <v>-1.0</v>
      </c>
      <c r="D41" s="73" t="s">
        <v>211</v>
      </c>
      <c r="E41" s="73" t="s">
        <v>212</v>
      </c>
      <c r="F41" s="74">
        <v>-1.0</v>
      </c>
      <c r="G41" s="75" t="s">
        <v>213</v>
      </c>
      <c r="H41" s="75" t="s">
        <v>214</v>
      </c>
      <c r="I41" s="76">
        <v>0.0</v>
      </c>
      <c r="J41" s="77" t="s">
        <v>215</v>
      </c>
      <c r="K41" s="77" t="s">
        <v>116</v>
      </c>
      <c r="L41" s="78">
        <v>1.0</v>
      </c>
    </row>
    <row r="42">
      <c r="A42" s="79" t="s">
        <v>216</v>
      </c>
      <c r="B42" s="79" t="s">
        <v>50</v>
      </c>
      <c r="C42" s="80">
        <v>1.0</v>
      </c>
      <c r="D42" s="81" t="s">
        <v>217</v>
      </c>
      <c r="E42" s="73" t="s">
        <v>93</v>
      </c>
      <c r="F42" s="82">
        <v>0.0</v>
      </c>
      <c r="G42" s="75" t="s">
        <v>218</v>
      </c>
      <c r="H42" s="75" t="s">
        <v>19</v>
      </c>
      <c r="I42" s="76">
        <v>4.0</v>
      </c>
      <c r="J42" s="77" t="s">
        <v>219</v>
      </c>
      <c r="K42" s="77" t="s">
        <v>220</v>
      </c>
      <c r="L42" s="78">
        <v>3.0</v>
      </c>
    </row>
    <row r="43">
      <c r="A43" s="79" t="s">
        <v>221</v>
      </c>
      <c r="B43" s="79" t="s">
        <v>121</v>
      </c>
      <c r="C43" s="80">
        <v>2.0</v>
      </c>
      <c r="D43" s="81" t="s">
        <v>222</v>
      </c>
      <c r="E43" s="81" t="s">
        <v>155</v>
      </c>
      <c r="F43" s="82">
        <v>2.0</v>
      </c>
      <c r="G43" s="75" t="s">
        <v>223</v>
      </c>
      <c r="H43" s="75" t="s">
        <v>12</v>
      </c>
      <c r="I43" s="76">
        <v>4.0</v>
      </c>
      <c r="J43" s="77" t="s">
        <v>224</v>
      </c>
      <c r="K43" s="77" t="s">
        <v>225</v>
      </c>
      <c r="L43" s="78">
        <v>1.0</v>
      </c>
    </row>
    <row r="44">
      <c r="A44" s="79" t="s">
        <v>226</v>
      </c>
      <c r="B44" s="79" t="s">
        <v>105</v>
      </c>
      <c r="C44" s="80">
        <v>-1.0</v>
      </c>
      <c r="D44" s="73" t="s">
        <v>227</v>
      </c>
      <c r="E44" s="73" t="s">
        <v>166</v>
      </c>
      <c r="F44" s="74">
        <v>0.0</v>
      </c>
      <c r="G44" s="75" t="s">
        <v>228</v>
      </c>
      <c r="H44" s="75" t="s">
        <v>229</v>
      </c>
      <c r="I44" s="76">
        <v>1.0</v>
      </c>
      <c r="J44" s="77" t="s">
        <v>230</v>
      </c>
      <c r="K44" s="77" t="s">
        <v>52</v>
      </c>
      <c r="L44" s="78">
        <v>1.0</v>
      </c>
    </row>
  </sheetData>
  <conditionalFormatting sqref="D1:F44 G1:I22 A12:C22 J12:L44 A34:C44">
    <cfRule type="endsWith" dxfId="0" priority="1" operator="endsWith" text=" ">
      <formula>RIGHT((D1),LEN(" "))=(" 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5.13"/>
    <col customWidth="1" min="4" max="4" width="25.13"/>
    <col customWidth="1" min="5" max="6" width="5.13"/>
    <col customWidth="1" min="7" max="7" width="25.13"/>
    <col customWidth="1" min="8" max="9" width="5.13"/>
    <col customWidth="1" min="10" max="10" width="25.13"/>
    <col customWidth="1" min="11" max="12" width="5.13"/>
  </cols>
  <sheetData>
    <row r="1">
      <c r="A1" s="88" t="s">
        <v>231</v>
      </c>
      <c r="B1" s="89" t="s">
        <v>1</v>
      </c>
      <c r="C1" s="90">
        <f>SUM(C2:C11)</f>
        <v>95</v>
      </c>
      <c r="D1" s="91" t="s">
        <v>232</v>
      </c>
      <c r="E1" s="91" t="s">
        <v>1</v>
      </c>
      <c r="F1" s="92">
        <f>SUM(F2:F11)</f>
        <v>94</v>
      </c>
      <c r="G1" s="93" t="s">
        <v>233</v>
      </c>
      <c r="H1" s="93" t="s">
        <v>1</v>
      </c>
      <c r="I1" s="94">
        <f>SUM(I2:I11)</f>
        <v>95</v>
      </c>
      <c r="J1" s="95" t="s">
        <v>234</v>
      </c>
      <c r="K1" s="96" t="s">
        <v>1</v>
      </c>
      <c r="L1" s="97">
        <f>SUM(L2:L11)</f>
        <v>95</v>
      </c>
    </row>
    <row r="2">
      <c r="A2" s="98" t="s">
        <v>134</v>
      </c>
      <c r="B2" s="98" t="s">
        <v>135</v>
      </c>
      <c r="C2" s="99">
        <v>36.0</v>
      </c>
      <c r="D2" s="100" t="s">
        <v>133</v>
      </c>
      <c r="E2" s="100" t="s">
        <v>84</v>
      </c>
      <c r="F2" s="101">
        <v>37.0</v>
      </c>
      <c r="G2" s="102" t="s">
        <v>235</v>
      </c>
      <c r="H2" s="102" t="s">
        <v>143</v>
      </c>
      <c r="I2" s="103">
        <v>18.0</v>
      </c>
      <c r="J2" s="104" t="s">
        <v>236</v>
      </c>
      <c r="K2" s="104" t="s">
        <v>10</v>
      </c>
      <c r="L2" s="105">
        <v>17.0</v>
      </c>
    </row>
    <row r="3">
      <c r="A3" s="98" t="s">
        <v>26</v>
      </c>
      <c r="B3" s="98" t="s">
        <v>52</v>
      </c>
      <c r="C3" s="99">
        <v>21.0</v>
      </c>
      <c r="D3" s="100" t="s">
        <v>237</v>
      </c>
      <c r="E3" s="100" t="s">
        <v>238</v>
      </c>
      <c r="F3" s="101">
        <v>1.0</v>
      </c>
      <c r="G3" s="102" t="s">
        <v>9</v>
      </c>
      <c r="H3" s="102" t="s">
        <v>10</v>
      </c>
      <c r="I3" s="103">
        <v>45.0</v>
      </c>
      <c r="J3" s="104" t="s">
        <v>239</v>
      </c>
      <c r="K3" s="104" t="s">
        <v>54</v>
      </c>
      <c r="L3" s="105">
        <v>8.0</v>
      </c>
    </row>
    <row r="4">
      <c r="A4" s="106" t="s">
        <v>90</v>
      </c>
      <c r="B4" s="106" t="s">
        <v>91</v>
      </c>
      <c r="C4" s="107">
        <v>8.0</v>
      </c>
      <c r="D4" s="100" t="s">
        <v>24</v>
      </c>
      <c r="E4" s="100" t="s">
        <v>25</v>
      </c>
      <c r="F4" s="101">
        <v>10.0</v>
      </c>
      <c r="G4" s="102" t="s">
        <v>240</v>
      </c>
      <c r="H4" s="102" t="s">
        <v>148</v>
      </c>
      <c r="I4" s="103">
        <v>5.0</v>
      </c>
      <c r="J4" s="104" t="s">
        <v>11</v>
      </c>
      <c r="K4" s="104" t="s">
        <v>12</v>
      </c>
      <c r="L4" s="105">
        <v>42.0</v>
      </c>
    </row>
    <row r="5">
      <c r="A5" s="98" t="s">
        <v>200</v>
      </c>
      <c r="B5" s="98" t="s">
        <v>95</v>
      </c>
      <c r="C5" s="99">
        <v>4.0</v>
      </c>
      <c r="D5" s="100" t="s">
        <v>199</v>
      </c>
      <c r="E5" s="100" t="s">
        <v>95</v>
      </c>
      <c r="F5" s="101">
        <v>12.0</v>
      </c>
      <c r="G5" s="102" t="s">
        <v>149</v>
      </c>
      <c r="H5" s="102" t="s">
        <v>29</v>
      </c>
      <c r="I5" s="103">
        <v>12.0</v>
      </c>
      <c r="J5" s="104" t="s">
        <v>241</v>
      </c>
      <c r="K5" s="104" t="s">
        <v>116</v>
      </c>
      <c r="L5" s="105">
        <v>23.0</v>
      </c>
    </row>
    <row r="6">
      <c r="A6" s="98" t="s">
        <v>33</v>
      </c>
      <c r="B6" s="98" t="s">
        <v>34</v>
      </c>
      <c r="C6" s="99">
        <v>16.0</v>
      </c>
      <c r="D6" s="100" t="s">
        <v>101</v>
      </c>
      <c r="E6" s="100" t="s">
        <v>50</v>
      </c>
      <c r="F6" s="101">
        <v>19.0</v>
      </c>
      <c r="G6" s="102" t="s">
        <v>37</v>
      </c>
      <c r="H6" s="102" t="s">
        <v>12</v>
      </c>
      <c r="I6" s="103">
        <v>8.0</v>
      </c>
      <c r="J6" s="104" t="s">
        <v>242</v>
      </c>
      <c r="K6" s="104" t="s">
        <v>229</v>
      </c>
      <c r="L6" s="105">
        <v>2.0</v>
      </c>
    </row>
    <row r="7">
      <c r="A7" s="98" t="s">
        <v>7</v>
      </c>
      <c r="B7" s="98" t="s">
        <v>8</v>
      </c>
      <c r="C7" s="99">
        <v>7.0</v>
      </c>
      <c r="D7" s="100" t="s">
        <v>243</v>
      </c>
      <c r="E7" s="100" t="s">
        <v>8</v>
      </c>
      <c r="F7" s="101">
        <v>3.0</v>
      </c>
      <c r="G7" s="108" t="s">
        <v>244</v>
      </c>
      <c r="H7" s="108" t="s">
        <v>135</v>
      </c>
      <c r="I7" s="109">
        <v>1.0</v>
      </c>
      <c r="J7" s="104" t="s">
        <v>245</v>
      </c>
      <c r="K7" s="104" t="s">
        <v>71</v>
      </c>
      <c r="L7" s="105">
        <v>0.0</v>
      </c>
    </row>
    <row r="8">
      <c r="A8" s="106" t="s">
        <v>246</v>
      </c>
      <c r="B8" s="106" t="s">
        <v>42</v>
      </c>
      <c r="C8" s="107">
        <v>2.0</v>
      </c>
      <c r="D8" s="100" t="s">
        <v>247</v>
      </c>
      <c r="E8" s="100" t="s">
        <v>79</v>
      </c>
      <c r="F8" s="101">
        <v>2.0</v>
      </c>
      <c r="G8" s="102" t="s">
        <v>248</v>
      </c>
      <c r="H8" s="102" t="s">
        <v>249</v>
      </c>
      <c r="I8" s="103">
        <v>2.0</v>
      </c>
      <c r="J8" s="104" t="s">
        <v>213</v>
      </c>
      <c r="K8" s="104" t="s">
        <v>86</v>
      </c>
      <c r="L8" s="105">
        <v>1.0</v>
      </c>
    </row>
    <row r="9">
      <c r="A9" s="98" t="s">
        <v>65</v>
      </c>
      <c r="B9" s="98" t="s">
        <v>66</v>
      </c>
      <c r="C9" s="99">
        <v>-2.0</v>
      </c>
      <c r="D9" s="100" t="s">
        <v>250</v>
      </c>
      <c r="E9" s="100" t="s">
        <v>6</v>
      </c>
      <c r="F9" s="101">
        <v>7.0</v>
      </c>
      <c r="G9" s="102" t="s">
        <v>251</v>
      </c>
      <c r="H9" s="102" t="s">
        <v>214</v>
      </c>
      <c r="I9" s="103">
        <v>1.0</v>
      </c>
      <c r="J9" s="104" t="s">
        <v>252</v>
      </c>
      <c r="K9" s="104" t="s">
        <v>29</v>
      </c>
      <c r="L9" s="105">
        <v>0.0</v>
      </c>
    </row>
    <row r="10">
      <c r="A10" s="98" t="s">
        <v>253</v>
      </c>
      <c r="B10" s="98" t="s">
        <v>81</v>
      </c>
      <c r="C10" s="99">
        <v>0.0</v>
      </c>
      <c r="D10" s="100" t="s">
        <v>72</v>
      </c>
      <c r="E10" s="100" t="s">
        <v>47</v>
      </c>
      <c r="F10" s="101">
        <v>3.0</v>
      </c>
      <c r="G10" s="108" t="s">
        <v>254</v>
      </c>
      <c r="H10" s="108" t="s">
        <v>17</v>
      </c>
      <c r="I10" s="109">
        <v>0.0</v>
      </c>
      <c r="J10" s="104" t="s">
        <v>255</v>
      </c>
      <c r="K10" s="104" t="s">
        <v>116</v>
      </c>
      <c r="L10" s="105">
        <v>1.0</v>
      </c>
    </row>
    <row r="11">
      <c r="A11" s="98" t="s">
        <v>175</v>
      </c>
      <c r="B11" s="98" t="s">
        <v>176</v>
      </c>
      <c r="C11" s="99">
        <v>3.0</v>
      </c>
      <c r="D11" s="100" t="s">
        <v>256</v>
      </c>
      <c r="E11" s="100" t="s">
        <v>91</v>
      </c>
      <c r="F11" s="101">
        <v>0.0</v>
      </c>
      <c r="G11" s="108" t="s">
        <v>257</v>
      </c>
      <c r="H11" s="108" t="s">
        <v>40</v>
      </c>
      <c r="I11" s="109">
        <v>3.0</v>
      </c>
      <c r="J11" s="104" t="s">
        <v>258</v>
      </c>
      <c r="K11" s="104" t="s">
        <v>95</v>
      </c>
      <c r="L11" s="105">
        <v>1.0</v>
      </c>
    </row>
    <row r="12">
      <c r="A12" s="110" t="s">
        <v>259</v>
      </c>
      <c r="B12" s="110" t="s">
        <v>1</v>
      </c>
      <c r="C12" s="111">
        <f>SUM(C13:C22)</f>
        <v>95</v>
      </c>
      <c r="D12" s="112" t="s">
        <v>260</v>
      </c>
      <c r="E12" s="112" t="s">
        <v>1</v>
      </c>
      <c r="F12" s="113">
        <f>SUM(F13:F22)</f>
        <v>95</v>
      </c>
      <c r="G12" s="114" t="s">
        <v>261</v>
      </c>
      <c r="H12" s="114" t="s">
        <v>1</v>
      </c>
      <c r="I12" s="115">
        <f>SUM(I13:I22)</f>
        <v>95</v>
      </c>
      <c r="J12" s="116" t="s">
        <v>262</v>
      </c>
      <c r="K12" s="117" t="s">
        <v>1</v>
      </c>
      <c r="L12" s="118">
        <f>SUM(L13:L22)</f>
        <v>95</v>
      </c>
    </row>
    <row r="13">
      <c r="A13" s="119" t="s">
        <v>188</v>
      </c>
      <c r="B13" s="119" t="s">
        <v>19</v>
      </c>
      <c r="C13" s="120">
        <v>31.0</v>
      </c>
      <c r="D13" s="121" t="s">
        <v>263</v>
      </c>
      <c r="E13" s="121" t="s">
        <v>40</v>
      </c>
      <c r="F13" s="122">
        <v>4.0</v>
      </c>
      <c r="G13" s="123" t="s">
        <v>264</v>
      </c>
      <c r="H13" s="123" t="s">
        <v>52</v>
      </c>
      <c r="I13" s="124">
        <v>18.0</v>
      </c>
      <c r="J13" s="125" t="s">
        <v>265</v>
      </c>
      <c r="K13" s="125" t="s">
        <v>66</v>
      </c>
      <c r="L13" s="126">
        <v>25.0</v>
      </c>
    </row>
    <row r="14">
      <c r="A14" s="127" t="s">
        <v>266</v>
      </c>
      <c r="B14" s="127" t="s">
        <v>40</v>
      </c>
      <c r="C14" s="128">
        <v>12.0</v>
      </c>
      <c r="D14" s="121" t="s">
        <v>267</v>
      </c>
      <c r="E14" s="121" t="s">
        <v>50</v>
      </c>
      <c r="F14" s="122">
        <v>8.0</v>
      </c>
      <c r="G14" s="123" t="s">
        <v>89</v>
      </c>
      <c r="H14" s="123" t="s">
        <v>8</v>
      </c>
      <c r="I14" s="124">
        <v>34.0</v>
      </c>
      <c r="J14" s="129" t="s">
        <v>268</v>
      </c>
      <c r="K14" s="129" t="s">
        <v>31</v>
      </c>
      <c r="L14" s="130">
        <v>9.0</v>
      </c>
    </row>
    <row r="15">
      <c r="A15" s="127" t="s">
        <v>164</v>
      </c>
      <c r="B15" s="127" t="s">
        <v>17</v>
      </c>
      <c r="C15" s="128">
        <v>2.0</v>
      </c>
      <c r="D15" s="121" t="s">
        <v>269</v>
      </c>
      <c r="E15" s="121" t="s">
        <v>31</v>
      </c>
      <c r="F15" s="122">
        <v>13.0</v>
      </c>
      <c r="G15" s="123" t="s">
        <v>270</v>
      </c>
      <c r="H15" s="123" t="s">
        <v>271</v>
      </c>
      <c r="I15" s="124">
        <v>7.0</v>
      </c>
      <c r="J15" s="129" t="s">
        <v>100</v>
      </c>
      <c r="K15" s="129" t="s">
        <v>8</v>
      </c>
      <c r="L15" s="130">
        <v>35.0</v>
      </c>
    </row>
    <row r="16">
      <c r="A16" s="119" t="s">
        <v>27</v>
      </c>
      <c r="B16" s="119" t="s">
        <v>23</v>
      </c>
      <c r="C16" s="120">
        <v>2.0</v>
      </c>
      <c r="D16" s="121" t="s">
        <v>28</v>
      </c>
      <c r="E16" s="121" t="s">
        <v>29</v>
      </c>
      <c r="F16" s="122">
        <v>38.0</v>
      </c>
      <c r="G16" s="131" t="s">
        <v>197</v>
      </c>
      <c r="H16" s="131" t="s">
        <v>45</v>
      </c>
      <c r="I16" s="132">
        <v>13.0</v>
      </c>
      <c r="J16" s="129" t="s">
        <v>272</v>
      </c>
      <c r="K16" s="129" t="s">
        <v>59</v>
      </c>
      <c r="L16" s="130">
        <v>22.0</v>
      </c>
    </row>
    <row r="17">
      <c r="A17" s="127" t="s">
        <v>205</v>
      </c>
      <c r="B17" s="127" t="s">
        <v>105</v>
      </c>
      <c r="C17" s="128">
        <v>37.0</v>
      </c>
      <c r="D17" s="121" t="s">
        <v>273</v>
      </c>
      <c r="E17" s="121" t="s">
        <v>212</v>
      </c>
      <c r="F17" s="122">
        <v>29.0</v>
      </c>
      <c r="G17" s="123" t="s">
        <v>274</v>
      </c>
      <c r="H17" s="123" t="s">
        <v>275</v>
      </c>
      <c r="I17" s="124">
        <v>20.0</v>
      </c>
      <c r="J17" s="129" t="s">
        <v>126</v>
      </c>
      <c r="K17" s="133" t="s">
        <v>45</v>
      </c>
      <c r="L17" s="130">
        <v>2.0</v>
      </c>
    </row>
    <row r="18">
      <c r="A18" s="127" t="s">
        <v>276</v>
      </c>
      <c r="B18" s="127" t="s">
        <v>36</v>
      </c>
      <c r="C18" s="128">
        <v>1.0</v>
      </c>
      <c r="D18" s="121" t="s">
        <v>277</v>
      </c>
      <c r="E18" s="121" t="s">
        <v>71</v>
      </c>
      <c r="F18" s="122">
        <v>0.0</v>
      </c>
      <c r="G18" s="131" t="s">
        <v>206</v>
      </c>
      <c r="H18" s="131" t="s">
        <v>8</v>
      </c>
      <c r="I18" s="132">
        <v>1.0</v>
      </c>
      <c r="J18" s="125" t="s">
        <v>113</v>
      </c>
      <c r="K18" s="125" t="s">
        <v>54</v>
      </c>
      <c r="L18" s="126">
        <v>1.0</v>
      </c>
    </row>
    <row r="19">
      <c r="A19" s="127" t="s">
        <v>140</v>
      </c>
      <c r="B19" s="127" t="s">
        <v>79</v>
      </c>
      <c r="C19" s="128">
        <v>6.0</v>
      </c>
      <c r="D19" s="121" t="s">
        <v>278</v>
      </c>
      <c r="E19" s="121" t="s">
        <v>71</v>
      </c>
      <c r="F19" s="122">
        <v>2.0</v>
      </c>
      <c r="G19" s="131" t="s">
        <v>279</v>
      </c>
      <c r="H19" s="131" t="s">
        <v>71</v>
      </c>
      <c r="I19" s="132">
        <v>1.0</v>
      </c>
      <c r="J19" s="125" t="s">
        <v>280</v>
      </c>
      <c r="K19" s="125" t="s">
        <v>68</v>
      </c>
      <c r="L19" s="126">
        <v>0.0</v>
      </c>
    </row>
    <row r="20">
      <c r="A20" s="119" t="s">
        <v>165</v>
      </c>
      <c r="B20" s="119" t="s">
        <v>166</v>
      </c>
      <c r="C20" s="120">
        <v>2.0</v>
      </c>
      <c r="D20" s="134" t="s">
        <v>281</v>
      </c>
      <c r="E20" s="135" t="s">
        <v>12</v>
      </c>
      <c r="F20" s="136">
        <v>1.0</v>
      </c>
      <c r="G20" s="123" t="s">
        <v>282</v>
      </c>
      <c r="H20" s="123" t="s">
        <v>116</v>
      </c>
      <c r="I20" s="124">
        <v>0.0</v>
      </c>
      <c r="J20" s="125" t="s">
        <v>168</v>
      </c>
      <c r="K20" s="125" t="s">
        <v>54</v>
      </c>
      <c r="L20" s="126">
        <v>1.0</v>
      </c>
    </row>
    <row r="21">
      <c r="A21" s="127" t="s">
        <v>127</v>
      </c>
      <c r="B21" s="127" t="s">
        <v>59</v>
      </c>
      <c r="C21" s="128">
        <v>2.0</v>
      </c>
      <c r="D21" s="121" t="s">
        <v>172</v>
      </c>
      <c r="E21" s="121" t="s">
        <v>155</v>
      </c>
      <c r="F21" s="122">
        <v>1.0</v>
      </c>
      <c r="G21" s="123" t="s">
        <v>169</v>
      </c>
      <c r="H21" s="123" t="s">
        <v>31</v>
      </c>
      <c r="I21" s="124">
        <v>1.0</v>
      </c>
      <c r="J21" s="125" t="s">
        <v>283</v>
      </c>
      <c r="K21" s="125" t="s">
        <v>34</v>
      </c>
      <c r="L21" s="126">
        <v>0.0</v>
      </c>
    </row>
    <row r="22">
      <c r="A22" s="127" t="s">
        <v>284</v>
      </c>
      <c r="B22" s="127" t="s">
        <v>52</v>
      </c>
      <c r="C22" s="128">
        <v>0.0</v>
      </c>
      <c r="D22" s="121" t="s">
        <v>285</v>
      </c>
      <c r="E22" s="121" t="s">
        <v>212</v>
      </c>
      <c r="F22" s="122">
        <v>-1.0</v>
      </c>
      <c r="G22" s="123" t="s">
        <v>286</v>
      </c>
      <c r="H22" s="123" t="s">
        <v>275</v>
      </c>
      <c r="I22" s="124">
        <v>0.0</v>
      </c>
      <c r="J22" s="125" t="s">
        <v>124</v>
      </c>
      <c r="K22" s="125" t="s">
        <v>31</v>
      </c>
      <c r="L22" s="126">
        <v>0.0</v>
      </c>
    </row>
    <row r="23">
      <c r="A23" s="137" t="s">
        <v>287</v>
      </c>
      <c r="B23" s="137" t="s">
        <v>1</v>
      </c>
      <c r="C23" s="138">
        <f>SUM(C24:C33)</f>
        <v>95</v>
      </c>
      <c r="D23" s="139" t="s">
        <v>288</v>
      </c>
      <c r="E23" s="140" t="s">
        <v>1</v>
      </c>
      <c r="F23" s="141">
        <f>SUM(F24:F33)</f>
        <v>92</v>
      </c>
      <c r="G23" s="142" t="s">
        <v>289</v>
      </c>
      <c r="H23" s="142" t="s">
        <v>1</v>
      </c>
      <c r="I23" s="143">
        <f>SUM(I24:I33)</f>
        <v>95</v>
      </c>
      <c r="J23" s="144" t="s">
        <v>290</v>
      </c>
      <c r="K23" s="144" t="s">
        <v>1</v>
      </c>
      <c r="L23" s="145">
        <f>SUM(L24:L33)</f>
        <v>93</v>
      </c>
    </row>
    <row r="24">
      <c r="A24" s="146" t="s">
        <v>191</v>
      </c>
      <c r="B24" s="146" t="s">
        <v>86</v>
      </c>
      <c r="C24" s="147">
        <v>30.0</v>
      </c>
      <c r="D24" s="148" t="s">
        <v>14</v>
      </c>
      <c r="E24" s="148" t="s">
        <v>15</v>
      </c>
      <c r="F24" s="149">
        <v>36.0</v>
      </c>
      <c r="G24" s="150" t="s">
        <v>291</v>
      </c>
      <c r="H24" s="150" t="s">
        <v>10</v>
      </c>
      <c r="I24" s="151">
        <v>10.0</v>
      </c>
      <c r="J24" s="152" t="s">
        <v>292</v>
      </c>
      <c r="K24" s="152" t="s">
        <v>116</v>
      </c>
      <c r="L24" s="153">
        <v>16.0</v>
      </c>
    </row>
    <row r="25">
      <c r="A25" s="146" t="s">
        <v>94</v>
      </c>
      <c r="B25" s="146" t="s">
        <v>95</v>
      </c>
      <c r="C25" s="147">
        <v>17.0</v>
      </c>
      <c r="D25" s="148" t="s">
        <v>189</v>
      </c>
      <c r="E25" s="148" t="s">
        <v>50</v>
      </c>
      <c r="F25" s="149">
        <v>8.0</v>
      </c>
      <c r="G25" s="150" t="s">
        <v>138</v>
      </c>
      <c r="H25" s="150" t="s">
        <v>19</v>
      </c>
      <c r="I25" s="151">
        <v>3.0</v>
      </c>
      <c r="J25" s="152" t="s">
        <v>184</v>
      </c>
      <c r="K25" s="152" t="s">
        <v>185</v>
      </c>
      <c r="L25" s="153">
        <v>32.0</v>
      </c>
    </row>
    <row r="26">
      <c r="A26" s="146" t="s">
        <v>293</v>
      </c>
      <c r="B26" s="154" t="s">
        <v>68</v>
      </c>
      <c r="C26" s="147">
        <v>9.0</v>
      </c>
      <c r="D26" s="148" t="s">
        <v>219</v>
      </c>
      <c r="E26" s="148" t="s">
        <v>294</v>
      </c>
      <c r="F26" s="149">
        <v>4.0</v>
      </c>
      <c r="G26" s="150" t="s">
        <v>144</v>
      </c>
      <c r="H26" s="150" t="s">
        <v>54</v>
      </c>
      <c r="I26" s="151">
        <v>6.0</v>
      </c>
      <c r="J26" s="152" t="s">
        <v>295</v>
      </c>
      <c r="K26" s="152" t="s">
        <v>86</v>
      </c>
      <c r="L26" s="153">
        <v>3.0</v>
      </c>
    </row>
    <row r="27">
      <c r="A27" s="146" t="s">
        <v>32</v>
      </c>
      <c r="B27" s="155" t="s">
        <v>25</v>
      </c>
      <c r="C27" s="147">
        <v>19.0</v>
      </c>
      <c r="D27" s="148" t="s">
        <v>150</v>
      </c>
      <c r="E27" s="148" t="s">
        <v>19</v>
      </c>
      <c r="F27" s="149">
        <v>7.0</v>
      </c>
      <c r="G27" s="150" t="s">
        <v>20</v>
      </c>
      <c r="H27" s="150" t="s">
        <v>21</v>
      </c>
      <c r="I27" s="151">
        <v>38.0</v>
      </c>
      <c r="J27" s="152" t="s">
        <v>296</v>
      </c>
      <c r="K27" s="152" t="s">
        <v>31</v>
      </c>
      <c r="L27" s="153">
        <v>7.0</v>
      </c>
    </row>
    <row r="28">
      <c r="A28" s="155" t="s">
        <v>35</v>
      </c>
      <c r="B28" s="155" t="s">
        <v>36</v>
      </c>
      <c r="C28" s="156">
        <v>15.0</v>
      </c>
      <c r="D28" s="148" t="s">
        <v>297</v>
      </c>
      <c r="E28" s="148" t="s">
        <v>298</v>
      </c>
      <c r="F28" s="149">
        <v>32.0</v>
      </c>
      <c r="G28" s="150" t="s">
        <v>198</v>
      </c>
      <c r="H28" s="150" t="s">
        <v>86</v>
      </c>
      <c r="I28" s="151">
        <v>34.0</v>
      </c>
      <c r="J28" s="152" t="s">
        <v>103</v>
      </c>
      <c r="K28" s="152" t="s">
        <v>98</v>
      </c>
      <c r="L28" s="153">
        <v>33.0</v>
      </c>
    </row>
    <row r="29">
      <c r="A29" s="155" t="s">
        <v>299</v>
      </c>
      <c r="B29" s="155" t="s">
        <v>185</v>
      </c>
      <c r="C29" s="156">
        <v>0.0</v>
      </c>
      <c r="D29" s="157" t="s">
        <v>158</v>
      </c>
      <c r="E29" s="157" t="s">
        <v>71</v>
      </c>
      <c r="F29" s="158">
        <v>3.0</v>
      </c>
      <c r="G29" s="150" t="s">
        <v>300</v>
      </c>
      <c r="H29" s="150" t="s">
        <v>185</v>
      </c>
      <c r="I29" s="151">
        <v>0.0</v>
      </c>
      <c r="J29" s="152" t="s">
        <v>106</v>
      </c>
      <c r="K29" s="152" t="s">
        <v>66</v>
      </c>
      <c r="L29" s="153">
        <v>1.0</v>
      </c>
    </row>
    <row r="30">
      <c r="A30" s="155" t="s">
        <v>301</v>
      </c>
      <c r="B30" s="155" t="s">
        <v>166</v>
      </c>
      <c r="C30" s="156">
        <v>4.0</v>
      </c>
      <c r="D30" s="148" t="s">
        <v>58</v>
      </c>
      <c r="E30" s="148" t="s">
        <v>59</v>
      </c>
      <c r="F30" s="149">
        <v>2.0</v>
      </c>
      <c r="G30" s="150" t="s">
        <v>302</v>
      </c>
      <c r="H30" s="150" t="s">
        <v>45</v>
      </c>
      <c r="I30" s="151">
        <v>1.0</v>
      </c>
      <c r="J30" s="152" t="s">
        <v>303</v>
      </c>
      <c r="K30" s="152" t="s">
        <v>174</v>
      </c>
      <c r="L30" s="153">
        <v>-1.0</v>
      </c>
    </row>
    <row r="31">
      <c r="A31" s="155" t="s">
        <v>304</v>
      </c>
      <c r="B31" s="155" t="s">
        <v>47</v>
      </c>
      <c r="C31" s="156">
        <v>0.0</v>
      </c>
      <c r="D31" s="148" t="s">
        <v>192</v>
      </c>
      <c r="E31" s="148" t="s">
        <v>95</v>
      </c>
      <c r="F31" s="149">
        <v>2.0</v>
      </c>
      <c r="G31" s="150" t="s">
        <v>60</v>
      </c>
      <c r="H31" s="150" t="s">
        <v>61</v>
      </c>
      <c r="I31" s="151">
        <v>2.0</v>
      </c>
      <c r="J31" s="152" t="s">
        <v>118</v>
      </c>
      <c r="K31" s="152" t="s">
        <v>6</v>
      </c>
      <c r="L31" s="153">
        <v>2.0</v>
      </c>
    </row>
    <row r="32">
      <c r="A32" s="155" t="s">
        <v>115</v>
      </c>
      <c r="B32" s="155" t="s">
        <v>116</v>
      </c>
      <c r="C32" s="156">
        <v>0.0</v>
      </c>
      <c r="D32" s="148" t="s">
        <v>305</v>
      </c>
      <c r="E32" s="148" t="s">
        <v>84</v>
      </c>
      <c r="F32" s="149">
        <v>-1.0</v>
      </c>
      <c r="G32" s="150" t="s">
        <v>217</v>
      </c>
      <c r="H32" s="150" t="s">
        <v>93</v>
      </c>
      <c r="I32" s="151">
        <v>0.0</v>
      </c>
      <c r="J32" s="152" t="s">
        <v>114</v>
      </c>
      <c r="K32" s="152" t="s">
        <v>31</v>
      </c>
      <c r="L32" s="153">
        <v>0.0</v>
      </c>
    </row>
    <row r="33">
      <c r="A33" s="155" t="s">
        <v>306</v>
      </c>
      <c r="B33" s="155" t="s">
        <v>29</v>
      </c>
      <c r="C33" s="156">
        <v>1.0</v>
      </c>
      <c r="D33" s="148" t="s">
        <v>125</v>
      </c>
      <c r="E33" s="148" t="s">
        <v>29</v>
      </c>
      <c r="F33" s="149">
        <v>-1.0</v>
      </c>
      <c r="G33" s="150" t="s">
        <v>307</v>
      </c>
      <c r="H33" s="150" t="s">
        <v>50</v>
      </c>
      <c r="I33" s="151">
        <v>1.0</v>
      </c>
      <c r="J33" s="152" t="s">
        <v>308</v>
      </c>
      <c r="K33" s="152" t="s">
        <v>31</v>
      </c>
      <c r="L33" s="153">
        <v>0.0</v>
      </c>
    </row>
    <row r="34">
      <c r="A34" s="159" t="s">
        <v>309</v>
      </c>
      <c r="B34" s="159" t="s">
        <v>1</v>
      </c>
      <c r="C34" s="160">
        <f>SUM(C35:C44)</f>
        <v>95</v>
      </c>
      <c r="D34" s="161" t="s">
        <v>310</v>
      </c>
      <c r="E34" s="161" t="s">
        <v>1</v>
      </c>
      <c r="F34" s="162">
        <f>SUM(F35:F44)</f>
        <v>94</v>
      </c>
      <c r="G34" s="163" t="s">
        <v>311</v>
      </c>
      <c r="H34" s="164" t="s">
        <v>1</v>
      </c>
      <c r="I34" s="165">
        <f>SUM(I35:I44)</f>
        <v>94</v>
      </c>
      <c r="J34" s="166" t="s">
        <v>312</v>
      </c>
      <c r="K34" s="166" t="s">
        <v>1</v>
      </c>
      <c r="L34" s="167">
        <f>SUM(L35:L44)</f>
        <v>95</v>
      </c>
    </row>
    <row r="35">
      <c r="A35" s="168" t="s">
        <v>5</v>
      </c>
      <c r="B35" s="168" t="s">
        <v>6</v>
      </c>
      <c r="C35" s="169">
        <v>29.0</v>
      </c>
      <c r="D35" s="170" t="s">
        <v>313</v>
      </c>
      <c r="E35" s="170" t="s">
        <v>86</v>
      </c>
      <c r="F35" s="171">
        <v>16.0</v>
      </c>
      <c r="G35" s="172" t="s">
        <v>78</v>
      </c>
      <c r="H35" s="172" t="s">
        <v>79</v>
      </c>
      <c r="I35" s="173">
        <v>14.0</v>
      </c>
      <c r="J35" s="174" t="s">
        <v>314</v>
      </c>
      <c r="K35" s="174" t="s">
        <v>31</v>
      </c>
      <c r="L35" s="175">
        <v>33.0</v>
      </c>
    </row>
    <row r="36">
      <c r="A36" s="168" t="s">
        <v>18</v>
      </c>
      <c r="B36" s="168" t="s">
        <v>19</v>
      </c>
      <c r="C36" s="169">
        <v>7.0</v>
      </c>
      <c r="D36" s="170" t="s">
        <v>87</v>
      </c>
      <c r="E36" s="170" t="s">
        <v>17</v>
      </c>
      <c r="F36" s="171">
        <v>24.0</v>
      </c>
      <c r="G36" s="172" t="s">
        <v>85</v>
      </c>
      <c r="H36" s="172" t="s">
        <v>86</v>
      </c>
      <c r="I36" s="173">
        <v>33.0</v>
      </c>
      <c r="J36" s="174" t="s">
        <v>13</v>
      </c>
      <c r="K36" s="174" t="s">
        <v>148</v>
      </c>
      <c r="L36" s="175">
        <v>12.0</v>
      </c>
    </row>
    <row r="37">
      <c r="A37" s="168" t="s">
        <v>315</v>
      </c>
      <c r="B37" s="168" t="s">
        <v>10</v>
      </c>
      <c r="C37" s="169">
        <v>18.0</v>
      </c>
      <c r="D37" s="170" t="s">
        <v>195</v>
      </c>
      <c r="E37" s="170" t="s">
        <v>47</v>
      </c>
      <c r="F37" s="171">
        <v>27.0</v>
      </c>
      <c r="G37" s="172" t="s">
        <v>316</v>
      </c>
      <c r="H37" s="172" t="s">
        <v>105</v>
      </c>
      <c r="I37" s="173">
        <v>14.0</v>
      </c>
      <c r="J37" s="174" t="s">
        <v>317</v>
      </c>
      <c r="K37" s="174" t="s">
        <v>225</v>
      </c>
      <c r="L37" s="175">
        <v>5.0</v>
      </c>
    </row>
    <row r="38">
      <c r="A38" s="168" t="s">
        <v>318</v>
      </c>
      <c r="B38" s="168" t="s">
        <v>214</v>
      </c>
      <c r="C38" s="169">
        <v>4.0</v>
      </c>
      <c r="D38" s="170" t="s">
        <v>319</v>
      </c>
      <c r="E38" s="170" t="s">
        <v>31</v>
      </c>
      <c r="F38" s="171">
        <v>12.0</v>
      </c>
      <c r="G38" s="176" t="s">
        <v>22</v>
      </c>
      <c r="H38" s="176" t="s">
        <v>23</v>
      </c>
      <c r="I38" s="173">
        <v>4.0</v>
      </c>
      <c r="J38" s="174" t="s">
        <v>102</v>
      </c>
      <c r="K38" s="174" t="s">
        <v>31</v>
      </c>
      <c r="L38" s="175">
        <v>22.0</v>
      </c>
    </row>
    <row r="39">
      <c r="A39" s="168" t="s">
        <v>154</v>
      </c>
      <c r="B39" s="168" t="s">
        <v>155</v>
      </c>
      <c r="C39" s="169">
        <v>32.0</v>
      </c>
      <c r="D39" s="170" t="s">
        <v>104</v>
      </c>
      <c r="E39" s="170" t="s">
        <v>105</v>
      </c>
      <c r="F39" s="171">
        <v>12.0</v>
      </c>
      <c r="G39" s="172" t="s">
        <v>152</v>
      </c>
      <c r="H39" s="172" t="s">
        <v>98</v>
      </c>
      <c r="I39" s="173">
        <v>27.0</v>
      </c>
      <c r="J39" s="174" t="s">
        <v>151</v>
      </c>
      <c r="K39" s="174" t="s">
        <v>23</v>
      </c>
      <c r="L39" s="175">
        <v>19.0</v>
      </c>
    </row>
    <row r="40">
      <c r="A40" s="168" t="s">
        <v>209</v>
      </c>
      <c r="B40" s="168" t="s">
        <v>52</v>
      </c>
      <c r="C40" s="169">
        <v>1.0</v>
      </c>
      <c r="D40" s="170" t="s">
        <v>320</v>
      </c>
      <c r="E40" s="170" t="s">
        <v>116</v>
      </c>
      <c r="F40" s="171">
        <v>6.0</v>
      </c>
      <c r="G40" s="172" t="s">
        <v>208</v>
      </c>
      <c r="H40" s="172" t="s">
        <v>174</v>
      </c>
      <c r="I40" s="173">
        <v>1.0</v>
      </c>
      <c r="J40" s="174" t="s">
        <v>110</v>
      </c>
      <c r="K40" s="174" t="s">
        <v>6</v>
      </c>
      <c r="L40" s="175">
        <v>1.0</v>
      </c>
    </row>
    <row r="41">
      <c r="A41" s="168" t="s">
        <v>46</v>
      </c>
      <c r="B41" s="168" t="s">
        <v>47</v>
      </c>
      <c r="C41" s="169">
        <v>0.0</v>
      </c>
      <c r="D41" s="170" t="s">
        <v>321</v>
      </c>
      <c r="E41" s="170" t="s">
        <v>185</v>
      </c>
      <c r="F41" s="171">
        <v>-1.0</v>
      </c>
      <c r="G41" s="172" t="s">
        <v>322</v>
      </c>
      <c r="H41" s="172" t="s">
        <v>93</v>
      </c>
      <c r="I41" s="173">
        <v>0.0</v>
      </c>
      <c r="J41" s="174" t="s">
        <v>323</v>
      </c>
      <c r="K41" s="174" t="s">
        <v>148</v>
      </c>
      <c r="L41" s="175">
        <v>-2.0</v>
      </c>
    </row>
    <row r="42">
      <c r="A42" s="168" t="s">
        <v>167</v>
      </c>
      <c r="B42" s="168" t="s">
        <v>40</v>
      </c>
      <c r="C42" s="169">
        <v>2.0</v>
      </c>
      <c r="D42" s="170" t="s">
        <v>324</v>
      </c>
      <c r="E42" s="170" t="s">
        <v>50</v>
      </c>
      <c r="F42" s="171">
        <v>-1.0</v>
      </c>
      <c r="G42" s="172" t="s">
        <v>325</v>
      </c>
      <c r="H42" s="172" t="s">
        <v>105</v>
      </c>
      <c r="I42" s="173">
        <v>-1.0</v>
      </c>
      <c r="J42" s="177" t="s">
        <v>161</v>
      </c>
      <c r="K42" s="177" t="s">
        <v>93</v>
      </c>
      <c r="L42" s="178">
        <v>1.0</v>
      </c>
    </row>
    <row r="43">
      <c r="A43" s="168" t="s">
        <v>120</v>
      </c>
      <c r="B43" s="168" t="s">
        <v>121</v>
      </c>
      <c r="C43" s="169">
        <v>2.0</v>
      </c>
      <c r="D43" s="170" t="s">
        <v>326</v>
      </c>
      <c r="E43" s="170" t="s">
        <v>204</v>
      </c>
      <c r="F43" s="171">
        <v>0.0</v>
      </c>
      <c r="G43" s="172" t="s">
        <v>119</v>
      </c>
      <c r="H43" s="176" t="s">
        <v>23</v>
      </c>
      <c r="I43" s="173">
        <v>2.0</v>
      </c>
      <c r="J43" s="177" t="s">
        <v>327</v>
      </c>
      <c r="K43" s="177" t="s">
        <v>45</v>
      </c>
      <c r="L43" s="178">
        <v>1.0</v>
      </c>
    </row>
    <row r="44">
      <c r="A44" s="168" t="s">
        <v>328</v>
      </c>
      <c r="B44" s="168" t="s">
        <v>329</v>
      </c>
      <c r="C44" s="169">
        <v>0.0</v>
      </c>
      <c r="D44" s="170" t="s">
        <v>330</v>
      </c>
      <c r="E44" s="170" t="s">
        <v>93</v>
      </c>
      <c r="F44" s="171">
        <v>-1.0</v>
      </c>
      <c r="G44" s="172" t="s">
        <v>331</v>
      </c>
      <c r="H44" s="172" t="s">
        <v>332</v>
      </c>
      <c r="I44" s="173">
        <v>0.0</v>
      </c>
      <c r="J44" s="177" t="s">
        <v>63</v>
      </c>
      <c r="K44" s="177" t="s">
        <v>64</v>
      </c>
      <c r="L44" s="178">
        <v>3.0</v>
      </c>
    </row>
  </sheetData>
  <conditionalFormatting sqref="A1:C44 D1:F22 G1:I33 J23:L44 D34:F44">
    <cfRule type="endsWith" dxfId="0" priority="1" operator="endsWith" text=" ">
      <formula>RIGHT((A1),LEN(" "))=(" 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5.13"/>
    <col customWidth="1" min="4" max="4" width="25.13"/>
    <col customWidth="1" min="5" max="6" width="5.13"/>
    <col customWidth="1" min="7" max="7" width="25.13"/>
    <col customWidth="1" min="8" max="9" width="5.13"/>
    <col customWidth="1" min="10" max="10" width="25.13"/>
    <col customWidth="1" min="11" max="12" width="5.13"/>
  </cols>
  <sheetData>
    <row r="1">
      <c r="A1" s="179" t="s">
        <v>333</v>
      </c>
      <c r="B1" s="180" t="s">
        <v>1</v>
      </c>
      <c r="C1" s="181">
        <f>SUM(C2:C11)</f>
        <v>95</v>
      </c>
      <c r="D1" s="182" t="s">
        <v>334</v>
      </c>
      <c r="E1" s="182" t="s">
        <v>1</v>
      </c>
      <c r="F1" s="183">
        <f>SUM(F2:F11)</f>
        <v>95</v>
      </c>
      <c r="G1" s="184" t="s">
        <v>335</v>
      </c>
      <c r="H1" s="185" t="s">
        <v>1</v>
      </c>
      <c r="I1" s="186">
        <f>SUM(I2:I11)</f>
        <v>95</v>
      </c>
      <c r="J1" s="187" t="s">
        <v>336</v>
      </c>
      <c r="K1" s="188" t="s">
        <v>1</v>
      </c>
      <c r="L1" s="189">
        <f>SUM(L2:L11)</f>
        <v>92</v>
      </c>
    </row>
    <row r="2">
      <c r="A2" s="190" t="s">
        <v>78</v>
      </c>
      <c r="B2" s="190" t="s">
        <v>79</v>
      </c>
      <c r="C2" s="191">
        <v>8.0</v>
      </c>
      <c r="D2" s="192" t="s">
        <v>314</v>
      </c>
      <c r="E2" s="192" t="s">
        <v>31</v>
      </c>
      <c r="F2" s="193">
        <v>28.0</v>
      </c>
      <c r="G2" s="194" t="s">
        <v>134</v>
      </c>
      <c r="H2" s="194" t="s">
        <v>21</v>
      </c>
      <c r="I2" s="195">
        <v>36.0</v>
      </c>
      <c r="J2" s="196" t="s">
        <v>44</v>
      </c>
      <c r="K2" s="196" t="s">
        <v>45</v>
      </c>
      <c r="L2" s="197">
        <v>3.0</v>
      </c>
    </row>
    <row r="3">
      <c r="A3" s="190" t="s">
        <v>138</v>
      </c>
      <c r="B3" s="190" t="s">
        <v>19</v>
      </c>
      <c r="C3" s="191">
        <v>3.0</v>
      </c>
      <c r="D3" s="192" t="s">
        <v>337</v>
      </c>
      <c r="E3" s="192" t="s">
        <v>153</v>
      </c>
      <c r="F3" s="193">
        <v>5.0</v>
      </c>
      <c r="G3" s="194" t="s">
        <v>137</v>
      </c>
      <c r="H3" s="194" t="s">
        <v>45</v>
      </c>
      <c r="I3" s="195">
        <v>17.0</v>
      </c>
      <c r="J3" s="196" t="s">
        <v>14</v>
      </c>
      <c r="K3" s="198" t="s">
        <v>15</v>
      </c>
      <c r="L3" s="197">
        <v>35.0</v>
      </c>
    </row>
    <row r="4">
      <c r="A4" s="190" t="s">
        <v>194</v>
      </c>
      <c r="B4" s="190" t="s">
        <v>29</v>
      </c>
      <c r="C4" s="191">
        <v>12.0</v>
      </c>
      <c r="D4" s="192" t="s">
        <v>338</v>
      </c>
      <c r="E4" s="192" t="s">
        <v>225</v>
      </c>
      <c r="F4" s="193">
        <v>16.0</v>
      </c>
      <c r="G4" s="199" t="s">
        <v>316</v>
      </c>
      <c r="H4" s="199" t="s">
        <v>105</v>
      </c>
      <c r="I4" s="200">
        <v>17.0</v>
      </c>
      <c r="J4" s="198" t="s">
        <v>339</v>
      </c>
      <c r="K4" s="198" t="s">
        <v>271</v>
      </c>
      <c r="L4" s="201">
        <v>6.0</v>
      </c>
    </row>
    <row r="5">
      <c r="A5" s="190" t="s">
        <v>20</v>
      </c>
      <c r="B5" s="190" t="s">
        <v>21</v>
      </c>
      <c r="C5" s="191">
        <v>38.0</v>
      </c>
      <c r="D5" s="192" t="s">
        <v>319</v>
      </c>
      <c r="E5" s="192" t="s">
        <v>31</v>
      </c>
      <c r="F5" s="193">
        <v>9.0</v>
      </c>
      <c r="G5" s="199" t="s">
        <v>340</v>
      </c>
      <c r="H5" s="194" t="s">
        <v>166</v>
      </c>
      <c r="I5" s="200">
        <v>5.0</v>
      </c>
      <c r="J5" s="198" t="s">
        <v>28</v>
      </c>
      <c r="K5" s="198" t="s">
        <v>29</v>
      </c>
      <c r="L5" s="201">
        <v>38.0</v>
      </c>
    </row>
    <row r="6">
      <c r="A6" s="190" t="s">
        <v>156</v>
      </c>
      <c r="B6" s="190" t="s">
        <v>17</v>
      </c>
      <c r="C6" s="191">
        <v>31.0</v>
      </c>
      <c r="D6" s="192" t="s">
        <v>273</v>
      </c>
      <c r="E6" s="192" t="s">
        <v>212</v>
      </c>
      <c r="F6" s="193">
        <v>28.0</v>
      </c>
      <c r="G6" s="194" t="s">
        <v>33</v>
      </c>
      <c r="H6" s="194" t="s">
        <v>34</v>
      </c>
      <c r="I6" s="195">
        <v>12.0</v>
      </c>
      <c r="J6" s="196" t="s">
        <v>341</v>
      </c>
      <c r="K6" s="198" t="s">
        <v>332</v>
      </c>
      <c r="L6" s="197">
        <v>8.0</v>
      </c>
    </row>
    <row r="7">
      <c r="A7" s="190" t="s">
        <v>208</v>
      </c>
      <c r="B7" s="190" t="s">
        <v>174</v>
      </c>
      <c r="C7" s="191">
        <v>1.0</v>
      </c>
      <c r="D7" s="192" t="s">
        <v>342</v>
      </c>
      <c r="E7" s="192" t="s">
        <v>31</v>
      </c>
      <c r="F7" s="193">
        <v>8.0</v>
      </c>
      <c r="G7" s="194" t="s">
        <v>343</v>
      </c>
      <c r="H7" s="194" t="s">
        <v>204</v>
      </c>
      <c r="I7" s="195">
        <v>2.0</v>
      </c>
      <c r="J7" s="198" t="s">
        <v>39</v>
      </c>
      <c r="K7" s="198" t="s">
        <v>40</v>
      </c>
      <c r="L7" s="201">
        <v>0.0</v>
      </c>
    </row>
    <row r="8">
      <c r="A8" s="190" t="s">
        <v>110</v>
      </c>
      <c r="B8" s="190" t="s">
        <v>6</v>
      </c>
      <c r="C8" s="191">
        <v>1.0</v>
      </c>
      <c r="D8" s="192" t="s">
        <v>344</v>
      </c>
      <c r="E8" s="192" t="s">
        <v>25</v>
      </c>
      <c r="F8" s="193">
        <v>1.0</v>
      </c>
      <c r="G8" s="199" t="s">
        <v>111</v>
      </c>
      <c r="H8" s="199" t="s">
        <v>86</v>
      </c>
      <c r="I8" s="200">
        <v>6.0</v>
      </c>
      <c r="J8" s="196" t="s">
        <v>345</v>
      </c>
      <c r="K8" s="196" t="s">
        <v>66</v>
      </c>
      <c r="L8" s="197">
        <v>-1.0</v>
      </c>
    </row>
    <row r="9">
      <c r="A9" s="190" t="s">
        <v>117</v>
      </c>
      <c r="B9" s="190" t="s">
        <v>23</v>
      </c>
      <c r="C9" s="191">
        <v>0.0</v>
      </c>
      <c r="D9" s="192" t="s">
        <v>326</v>
      </c>
      <c r="E9" s="192" t="s">
        <v>204</v>
      </c>
      <c r="F9" s="193">
        <v>0.0</v>
      </c>
      <c r="G9" s="194" t="s">
        <v>346</v>
      </c>
      <c r="H9" s="194" t="s">
        <v>95</v>
      </c>
      <c r="I9" s="195">
        <v>-1.0</v>
      </c>
      <c r="J9" s="198" t="s">
        <v>317</v>
      </c>
      <c r="K9" s="198" t="s">
        <v>225</v>
      </c>
      <c r="L9" s="201">
        <v>1.0</v>
      </c>
    </row>
    <row r="10">
      <c r="A10" s="190" t="s">
        <v>347</v>
      </c>
      <c r="B10" s="190" t="s">
        <v>54</v>
      </c>
      <c r="C10" s="191">
        <v>0.0</v>
      </c>
      <c r="D10" s="192" t="s">
        <v>72</v>
      </c>
      <c r="E10" s="192" t="s">
        <v>47</v>
      </c>
      <c r="F10" s="193">
        <v>1.0</v>
      </c>
      <c r="G10" s="199" t="s">
        <v>122</v>
      </c>
      <c r="H10" s="194" t="s">
        <v>10</v>
      </c>
      <c r="I10" s="200">
        <v>1.0</v>
      </c>
      <c r="J10" s="196" t="s">
        <v>348</v>
      </c>
      <c r="K10" s="196" t="s">
        <v>25</v>
      </c>
      <c r="L10" s="201">
        <v>-1.0</v>
      </c>
    </row>
    <row r="11">
      <c r="A11" s="190" t="s">
        <v>228</v>
      </c>
      <c r="B11" s="190" t="s">
        <v>25</v>
      </c>
      <c r="C11" s="191">
        <v>1.0</v>
      </c>
      <c r="D11" s="192" t="s">
        <v>349</v>
      </c>
      <c r="E11" s="192" t="s">
        <v>21</v>
      </c>
      <c r="F11" s="193">
        <v>-1.0</v>
      </c>
      <c r="G11" s="194" t="s">
        <v>126</v>
      </c>
      <c r="H11" s="194" t="s">
        <v>59</v>
      </c>
      <c r="I11" s="195">
        <v>0.0</v>
      </c>
      <c r="J11" s="196" t="s">
        <v>350</v>
      </c>
      <c r="K11" s="196" t="s">
        <v>135</v>
      </c>
      <c r="L11" s="197">
        <v>3.0</v>
      </c>
    </row>
    <row r="12">
      <c r="A12" s="202" t="s">
        <v>351</v>
      </c>
      <c r="B12" s="202" t="s">
        <v>1</v>
      </c>
      <c r="C12" s="203">
        <f>SUM(C13:C22)</f>
        <v>94</v>
      </c>
      <c r="D12" s="204" t="s">
        <v>352</v>
      </c>
      <c r="E12" s="204" t="s">
        <v>1</v>
      </c>
      <c r="F12" s="205">
        <f>SUM(F13:F22)</f>
        <v>94</v>
      </c>
      <c r="G12" s="206" t="s">
        <v>353</v>
      </c>
      <c r="H12" s="206" t="s">
        <v>1</v>
      </c>
      <c r="I12" s="207">
        <f>SUM(I13:I22)</f>
        <v>95</v>
      </c>
      <c r="J12" s="208" t="s">
        <v>354</v>
      </c>
      <c r="K12" s="209" t="s">
        <v>1</v>
      </c>
      <c r="L12" s="210">
        <f>SUM(L13:L22)</f>
        <v>95</v>
      </c>
    </row>
    <row r="13">
      <c r="A13" s="211" t="s">
        <v>133</v>
      </c>
      <c r="B13" s="211" t="s">
        <v>84</v>
      </c>
      <c r="C13" s="212">
        <v>37.0</v>
      </c>
      <c r="D13" s="213" t="s">
        <v>132</v>
      </c>
      <c r="E13" s="213" t="s">
        <v>95</v>
      </c>
      <c r="F13" s="214">
        <v>15.0</v>
      </c>
      <c r="G13" s="215" t="s">
        <v>243</v>
      </c>
      <c r="H13" s="215" t="s">
        <v>8</v>
      </c>
      <c r="I13" s="216">
        <v>2.0</v>
      </c>
      <c r="J13" s="217" t="s">
        <v>263</v>
      </c>
      <c r="K13" s="217" t="s">
        <v>40</v>
      </c>
      <c r="L13" s="218">
        <v>3.0</v>
      </c>
    </row>
    <row r="14">
      <c r="A14" s="219" t="s">
        <v>355</v>
      </c>
      <c r="B14" s="219" t="s">
        <v>36</v>
      </c>
      <c r="C14" s="220">
        <v>15.0</v>
      </c>
      <c r="D14" s="213" t="s">
        <v>356</v>
      </c>
      <c r="E14" s="213" t="s">
        <v>185</v>
      </c>
      <c r="F14" s="214">
        <v>12.0</v>
      </c>
      <c r="G14" s="215" t="s">
        <v>83</v>
      </c>
      <c r="H14" s="215" t="s">
        <v>84</v>
      </c>
      <c r="I14" s="216">
        <v>24.0</v>
      </c>
      <c r="J14" s="217" t="s">
        <v>357</v>
      </c>
      <c r="K14" s="217" t="s">
        <v>329</v>
      </c>
      <c r="L14" s="218">
        <v>17.0</v>
      </c>
    </row>
    <row r="15">
      <c r="A15" s="211" t="s">
        <v>358</v>
      </c>
      <c r="B15" s="211" t="s">
        <v>185</v>
      </c>
      <c r="C15" s="212">
        <v>6.0</v>
      </c>
      <c r="D15" s="213" t="s">
        <v>89</v>
      </c>
      <c r="E15" s="213" t="s">
        <v>8</v>
      </c>
      <c r="F15" s="214">
        <v>34.0</v>
      </c>
      <c r="G15" s="215" t="s">
        <v>219</v>
      </c>
      <c r="H15" s="215" t="s">
        <v>212</v>
      </c>
      <c r="I15" s="216">
        <v>5.0</v>
      </c>
      <c r="J15" s="221" t="s">
        <v>145</v>
      </c>
      <c r="K15" s="221" t="s">
        <v>31</v>
      </c>
      <c r="L15" s="222">
        <v>42.0</v>
      </c>
    </row>
    <row r="16">
      <c r="A16" s="219" t="s">
        <v>195</v>
      </c>
      <c r="B16" s="211" t="s">
        <v>47</v>
      </c>
      <c r="C16" s="220">
        <v>26.0</v>
      </c>
      <c r="D16" s="213" t="s">
        <v>223</v>
      </c>
      <c r="E16" s="213" t="s">
        <v>12</v>
      </c>
      <c r="F16" s="214">
        <v>3.0</v>
      </c>
      <c r="G16" s="215" t="s">
        <v>198</v>
      </c>
      <c r="H16" s="215" t="s">
        <v>86</v>
      </c>
      <c r="I16" s="216">
        <v>33.0</v>
      </c>
      <c r="J16" s="217" t="s">
        <v>11</v>
      </c>
      <c r="K16" s="221" t="s">
        <v>12</v>
      </c>
      <c r="L16" s="218">
        <v>23.0</v>
      </c>
    </row>
    <row r="17">
      <c r="A17" s="219" t="s">
        <v>200</v>
      </c>
      <c r="B17" s="219" t="s">
        <v>95</v>
      </c>
      <c r="C17" s="220">
        <v>5.0</v>
      </c>
      <c r="D17" s="213" t="s">
        <v>297</v>
      </c>
      <c r="E17" s="213" t="s">
        <v>298</v>
      </c>
      <c r="F17" s="214">
        <v>28.0</v>
      </c>
      <c r="G17" s="215" t="s">
        <v>102</v>
      </c>
      <c r="H17" s="215" t="s">
        <v>31</v>
      </c>
      <c r="I17" s="216">
        <v>24.0</v>
      </c>
      <c r="J17" s="217" t="s">
        <v>257</v>
      </c>
      <c r="K17" s="217" t="s">
        <v>17</v>
      </c>
      <c r="L17" s="218">
        <v>3.0</v>
      </c>
    </row>
    <row r="18">
      <c r="A18" s="211" t="s">
        <v>43</v>
      </c>
      <c r="B18" s="211" t="s">
        <v>40</v>
      </c>
      <c r="C18" s="212">
        <v>0.0</v>
      </c>
      <c r="D18" s="213" t="s">
        <v>106</v>
      </c>
      <c r="E18" s="213" t="s">
        <v>66</v>
      </c>
      <c r="F18" s="214">
        <v>1.0</v>
      </c>
      <c r="G18" s="215" t="s">
        <v>206</v>
      </c>
      <c r="H18" s="215" t="s">
        <v>8</v>
      </c>
      <c r="I18" s="216">
        <v>1.0</v>
      </c>
      <c r="J18" s="221" t="s">
        <v>276</v>
      </c>
      <c r="K18" s="217" t="s">
        <v>36</v>
      </c>
      <c r="L18" s="218">
        <v>1.0</v>
      </c>
    </row>
    <row r="19">
      <c r="A19" s="219" t="s">
        <v>324</v>
      </c>
      <c r="B19" s="219" t="s">
        <v>50</v>
      </c>
      <c r="C19" s="220">
        <v>0.0</v>
      </c>
      <c r="D19" s="213" t="s">
        <v>51</v>
      </c>
      <c r="E19" s="213" t="s">
        <v>52</v>
      </c>
      <c r="F19" s="214">
        <v>-1.0</v>
      </c>
      <c r="G19" s="215" t="s">
        <v>359</v>
      </c>
      <c r="H19" s="215" t="s">
        <v>275</v>
      </c>
      <c r="I19" s="216">
        <v>-1.0</v>
      </c>
      <c r="J19" s="217" t="s">
        <v>295</v>
      </c>
      <c r="K19" s="217" t="s">
        <v>86</v>
      </c>
      <c r="L19" s="218">
        <v>4.0</v>
      </c>
    </row>
    <row r="20">
      <c r="A20" s="219" t="s">
        <v>360</v>
      </c>
      <c r="B20" s="219" t="s">
        <v>238</v>
      </c>
      <c r="C20" s="220">
        <v>1.0</v>
      </c>
      <c r="D20" s="213" t="s">
        <v>361</v>
      </c>
      <c r="E20" s="213" t="s">
        <v>135</v>
      </c>
      <c r="F20" s="214">
        <v>2.0</v>
      </c>
      <c r="G20" s="215" t="s">
        <v>218</v>
      </c>
      <c r="H20" s="215" t="s">
        <v>19</v>
      </c>
      <c r="I20" s="216">
        <v>4.0</v>
      </c>
      <c r="J20" s="217" t="s">
        <v>362</v>
      </c>
      <c r="K20" s="217" t="s">
        <v>225</v>
      </c>
      <c r="L20" s="218">
        <v>0.0</v>
      </c>
    </row>
    <row r="21">
      <c r="A21" s="219" t="s">
        <v>125</v>
      </c>
      <c r="B21" s="211" t="s">
        <v>29</v>
      </c>
      <c r="C21" s="212">
        <v>1.0</v>
      </c>
      <c r="D21" s="213" t="s">
        <v>305</v>
      </c>
      <c r="E21" s="213" t="s">
        <v>84</v>
      </c>
      <c r="F21" s="214">
        <v>-1.0</v>
      </c>
      <c r="G21" s="215" t="s">
        <v>281</v>
      </c>
      <c r="H21" s="215" t="s">
        <v>12</v>
      </c>
      <c r="I21" s="216">
        <v>1.0</v>
      </c>
      <c r="J21" s="221" t="s">
        <v>255</v>
      </c>
      <c r="K21" s="221" t="s">
        <v>116</v>
      </c>
      <c r="L21" s="222">
        <v>0.0</v>
      </c>
    </row>
    <row r="22">
      <c r="A22" s="211" t="s">
        <v>177</v>
      </c>
      <c r="B22" s="211" t="s">
        <v>29</v>
      </c>
      <c r="C22" s="212">
        <v>3.0</v>
      </c>
      <c r="D22" s="213" t="s">
        <v>178</v>
      </c>
      <c r="E22" s="213" t="s">
        <v>6</v>
      </c>
      <c r="F22" s="214">
        <v>1.0</v>
      </c>
      <c r="G22" s="215" t="s">
        <v>119</v>
      </c>
      <c r="H22" s="215" t="s">
        <v>23</v>
      </c>
      <c r="I22" s="216">
        <v>2.0</v>
      </c>
      <c r="J22" s="217" t="s">
        <v>124</v>
      </c>
      <c r="K22" s="217" t="s">
        <v>31</v>
      </c>
      <c r="L22" s="218">
        <v>2.0</v>
      </c>
    </row>
    <row r="23">
      <c r="A23" s="223" t="s">
        <v>363</v>
      </c>
      <c r="B23" s="223" t="s">
        <v>1</v>
      </c>
      <c r="C23" s="224">
        <f>SUM(C24:C33)</f>
        <v>95</v>
      </c>
      <c r="D23" s="225" t="s">
        <v>364</v>
      </c>
      <c r="E23" s="226" t="s">
        <v>1</v>
      </c>
      <c r="F23" s="227">
        <f>SUM(F24:F33)</f>
        <v>93</v>
      </c>
      <c r="G23" s="228" t="s">
        <v>365</v>
      </c>
      <c r="H23" s="228" t="s">
        <v>1</v>
      </c>
      <c r="I23" s="229">
        <f>SUM(I24:I33)</f>
        <v>94</v>
      </c>
      <c r="J23" s="230" t="s">
        <v>366</v>
      </c>
      <c r="K23" s="230" t="s">
        <v>1</v>
      </c>
      <c r="L23" s="231">
        <f>SUM(L24:L33)</f>
        <v>95</v>
      </c>
    </row>
    <row r="24">
      <c r="A24" s="232" t="s">
        <v>236</v>
      </c>
      <c r="B24" s="232" t="s">
        <v>10</v>
      </c>
      <c r="C24" s="233">
        <v>15.0</v>
      </c>
      <c r="D24" s="234" t="s">
        <v>367</v>
      </c>
      <c r="E24" s="234" t="s">
        <v>31</v>
      </c>
      <c r="F24" s="235">
        <v>14.0</v>
      </c>
      <c r="G24" s="236" t="s">
        <v>368</v>
      </c>
      <c r="H24" s="236" t="s">
        <v>135</v>
      </c>
      <c r="I24" s="237">
        <v>8.0</v>
      </c>
      <c r="J24" s="238" t="s">
        <v>291</v>
      </c>
      <c r="K24" s="238" t="s">
        <v>10</v>
      </c>
      <c r="L24" s="239">
        <v>10.0</v>
      </c>
    </row>
    <row r="25">
      <c r="A25" s="232" t="s">
        <v>26</v>
      </c>
      <c r="B25" s="232" t="s">
        <v>52</v>
      </c>
      <c r="C25" s="233">
        <v>19.0</v>
      </c>
      <c r="D25" s="234" t="s">
        <v>9</v>
      </c>
      <c r="E25" s="234" t="s">
        <v>10</v>
      </c>
      <c r="F25" s="235">
        <v>45.0</v>
      </c>
      <c r="G25" s="236" t="s">
        <v>184</v>
      </c>
      <c r="H25" s="236" t="s">
        <v>185</v>
      </c>
      <c r="I25" s="237">
        <v>32.0</v>
      </c>
      <c r="J25" s="238" t="s">
        <v>191</v>
      </c>
      <c r="K25" s="238" t="s">
        <v>86</v>
      </c>
      <c r="L25" s="239">
        <v>27.0</v>
      </c>
    </row>
    <row r="26">
      <c r="A26" s="232" t="s">
        <v>92</v>
      </c>
      <c r="B26" s="232" t="s">
        <v>93</v>
      </c>
      <c r="C26" s="233">
        <v>16.0</v>
      </c>
      <c r="D26" s="234" t="s">
        <v>147</v>
      </c>
      <c r="E26" s="234" t="s">
        <v>148</v>
      </c>
      <c r="F26" s="235">
        <v>2.0</v>
      </c>
      <c r="G26" s="236" t="s">
        <v>190</v>
      </c>
      <c r="H26" s="236" t="s">
        <v>66</v>
      </c>
      <c r="I26" s="237">
        <v>19.0</v>
      </c>
      <c r="J26" s="240" t="s">
        <v>144</v>
      </c>
      <c r="K26" s="238" t="s">
        <v>54</v>
      </c>
      <c r="L26" s="241">
        <v>4.0</v>
      </c>
    </row>
    <row r="27">
      <c r="A27" s="232" t="s">
        <v>296</v>
      </c>
      <c r="B27" s="232" t="s">
        <v>52</v>
      </c>
      <c r="C27" s="233">
        <v>7.0</v>
      </c>
      <c r="D27" s="234" t="s">
        <v>99</v>
      </c>
      <c r="E27" s="234" t="s">
        <v>12</v>
      </c>
      <c r="F27" s="235">
        <v>16.0</v>
      </c>
      <c r="G27" s="236" t="s">
        <v>241</v>
      </c>
      <c r="H27" s="236" t="s">
        <v>275</v>
      </c>
      <c r="I27" s="237">
        <v>25.0</v>
      </c>
      <c r="J27" s="240" t="s">
        <v>100</v>
      </c>
      <c r="K27" s="240" t="s">
        <v>8</v>
      </c>
      <c r="L27" s="241">
        <v>35.0</v>
      </c>
    </row>
    <row r="28">
      <c r="A28" s="232" t="s">
        <v>201</v>
      </c>
      <c r="B28" s="232" t="s">
        <v>31</v>
      </c>
      <c r="C28" s="233">
        <v>33.0</v>
      </c>
      <c r="D28" s="234" t="s">
        <v>202</v>
      </c>
      <c r="E28" s="234" t="s">
        <v>79</v>
      </c>
      <c r="F28" s="235">
        <v>8.0</v>
      </c>
      <c r="G28" s="236" t="s">
        <v>369</v>
      </c>
      <c r="H28" s="236" t="s">
        <v>68</v>
      </c>
      <c r="I28" s="237">
        <v>3.0</v>
      </c>
      <c r="J28" s="238" t="s">
        <v>35</v>
      </c>
      <c r="K28" s="238" t="s">
        <v>36</v>
      </c>
      <c r="L28" s="239">
        <v>14.0</v>
      </c>
    </row>
    <row r="29">
      <c r="A29" s="232" t="s">
        <v>157</v>
      </c>
      <c r="B29" s="232" t="s">
        <v>52</v>
      </c>
      <c r="C29" s="233">
        <v>3.0</v>
      </c>
      <c r="D29" s="234" t="s">
        <v>160</v>
      </c>
      <c r="E29" s="234" t="s">
        <v>6</v>
      </c>
      <c r="F29" s="235">
        <v>2.0</v>
      </c>
      <c r="G29" s="236" t="s">
        <v>49</v>
      </c>
      <c r="H29" s="236" t="s">
        <v>31</v>
      </c>
      <c r="I29" s="237">
        <v>2.0</v>
      </c>
      <c r="J29" s="238" t="s">
        <v>370</v>
      </c>
      <c r="K29" s="238" t="s">
        <v>68</v>
      </c>
      <c r="L29" s="239">
        <v>3.0</v>
      </c>
    </row>
    <row r="30">
      <c r="A30" s="232" t="s">
        <v>213</v>
      </c>
      <c r="B30" s="232" t="s">
        <v>86</v>
      </c>
      <c r="C30" s="233">
        <v>0.0</v>
      </c>
      <c r="D30" s="234" t="s">
        <v>371</v>
      </c>
      <c r="E30" s="234" t="s">
        <v>275</v>
      </c>
      <c r="F30" s="235">
        <v>-1.0</v>
      </c>
      <c r="G30" s="236" t="s">
        <v>372</v>
      </c>
      <c r="H30" s="236" t="s">
        <v>148</v>
      </c>
      <c r="I30" s="237">
        <v>-1.0</v>
      </c>
      <c r="J30" s="238" t="s">
        <v>373</v>
      </c>
      <c r="K30" s="238" t="s">
        <v>116</v>
      </c>
      <c r="L30" s="239">
        <v>2.0</v>
      </c>
    </row>
    <row r="31">
      <c r="A31" s="232" t="s">
        <v>163</v>
      </c>
      <c r="B31" s="232" t="s">
        <v>6</v>
      </c>
      <c r="C31" s="233">
        <v>0.0</v>
      </c>
      <c r="D31" s="234" t="s">
        <v>251</v>
      </c>
      <c r="E31" s="234" t="s">
        <v>214</v>
      </c>
      <c r="F31" s="235">
        <v>1.0</v>
      </c>
      <c r="G31" s="236" t="s">
        <v>165</v>
      </c>
      <c r="H31" s="236" t="s">
        <v>166</v>
      </c>
      <c r="I31" s="237">
        <v>3.0</v>
      </c>
      <c r="J31" s="238" t="s">
        <v>374</v>
      </c>
      <c r="K31" s="238" t="s">
        <v>375</v>
      </c>
      <c r="L31" s="239">
        <v>-1.0</v>
      </c>
    </row>
    <row r="32">
      <c r="A32" s="232" t="s">
        <v>221</v>
      </c>
      <c r="B32" s="232" t="s">
        <v>121</v>
      </c>
      <c r="C32" s="233">
        <v>4.0</v>
      </c>
      <c r="D32" s="234" t="s">
        <v>22</v>
      </c>
      <c r="E32" s="234" t="s">
        <v>23</v>
      </c>
      <c r="F32" s="235">
        <v>-1.0</v>
      </c>
      <c r="G32" s="236" t="s">
        <v>169</v>
      </c>
      <c r="H32" s="236" t="s">
        <v>31</v>
      </c>
      <c r="I32" s="237">
        <v>2.0</v>
      </c>
      <c r="J32" s="238" t="s">
        <v>27</v>
      </c>
      <c r="K32" s="238" t="s">
        <v>23</v>
      </c>
      <c r="L32" s="239">
        <v>1.0</v>
      </c>
    </row>
    <row r="33">
      <c r="A33" s="232" t="s">
        <v>331</v>
      </c>
      <c r="B33" s="232" t="s">
        <v>332</v>
      </c>
      <c r="C33" s="233">
        <v>-2.0</v>
      </c>
      <c r="D33" s="234" t="s">
        <v>376</v>
      </c>
      <c r="E33" s="234" t="s">
        <v>329</v>
      </c>
      <c r="F33" s="235">
        <v>7.0</v>
      </c>
      <c r="G33" s="236" t="s">
        <v>179</v>
      </c>
      <c r="H33" s="236" t="s">
        <v>121</v>
      </c>
      <c r="I33" s="237">
        <v>1.0</v>
      </c>
      <c r="J33" s="238" t="s">
        <v>377</v>
      </c>
      <c r="K33" s="238" t="s">
        <v>155</v>
      </c>
      <c r="L33" s="239">
        <v>0.0</v>
      </c>
    </row>
    <row r="34">
      <c r="A34" s="242" t="s">
        <v>378</v>
      </c>
      <c r="B34" s="242" t="s">
        <v>1</v>
      </c>
      <c r="C34" s="243">
        <f>SUM(C35:C44)</f>
        <v>95</v>
      </c>
      <c r="D34" s="244" t="s">
        <v>379</v>
      </c>
      <c r="E34" s="244" t="s">
        <v>1</v>
      </c>
      <c r="F34" s="245">
        <f>SUM(F35:F44)</f>
        <v>95</v>
      </c>
      <c r="G34" s="246" t="s">
        <v>380</v>
      </c>
      <c r="H34" s="247" t="s">
        <v>1</v>
      </c>
      <c r="I34" s="248">
        <f>SUM(I35:I44)</f>
        <v>94</v>
      </c>
      <c r="J34" s="249" t="s">
        <v>381</v>
      </c>
      <c r="K34" s="249" t="s">
        <v>1</v>
      </c>
      <c r="L34" s="250">
        <f>SUM(L35:L44)</f>
        <v>94</v>
      </c>
    </row>
    <row r="35">
      <c r="A35" s="251" t="s">
        <v>136</v>
      </c>
      <c r="B35" s="251" t="s">
        <v>59</v>
      </c>
      <c r="C35" s="252">
        <v>12.0</v>
      </c>
      <c r="D35" s="253" t="s">
        <v>382</v>
      </c>
      <c r="E35" s="253" t="s">
        <v>275</v>
      </c>
      <c r="F35" s="254">
        <v>7.0</v>
      </c>
      <c r="G35" s="255" t="s">
        <v>5</v>
      </c>
      <c r="H35" s="255" t="s">
        <v>6</v>
      </c>
      <c r="I35" s="256">
        <v>27.0</v>
      </c>
      <c r="J35" s="257" t="s">
        <v>188</v>
      </c>
      <c r="K35" s="257" t="s">
        <v>19</v>
      </c>
      <c r="L35" s="258">
        <v>29.0</v>
      </c>
    </row>
    <row r="36">
      <c r="A36" s="251" t="s">
        <v>85</v>
      </c>
      <c r="B36" s="251" t="s">
        <v>225</v>
      </c>
      <c r="C36" s="252">
        <v>34.0</v>
      </c>
      <c r="D36" s="253" t="s">
        <v>189</v>
      </c>
      <c r="E36" s="253" t="s">
        <v>31</v>
      </c>
      <c r="F36" s="254">
        <v>7.0</v>
      </c>
      <c r="G36" s="255" t="s">
        <v>267</v>
      </c>
      <c r="H36" s="255" t="s">
        <v>52</v>
      </c>
      <c r="I36" s="256">
        <v>5.0</v>
      </c>
      <c r="J36" s="257" t="s">
        <v>265</v>
      </c>
      <c r="K36" s="257" t="s">
        <v>91</v>
      </c>
      <c r="L36" s="258">
        <v>23.0</v>
      </c>
    </row>
    <row r="37">
      <c r="A37" s="251" t="s">
        <v>196</v>
      </c>
      <c r="B37" s="251" t="s">
        <v>8</v>
      </c>
      <c r="C37" s="252">
        <v>7.0</v>
      </c>
      <c r="D37" s="253" t="s">
        <v>90</v>
      </c>
      <c r="E37" s="253" t="s">
        <v>91</v>
      </c>
      <c r="F37" s="254">
        <v>9.0</v>
      </c>
      <c r="G37" s="255" t="s">
        <v>383</v>
      </c>
      <c r="H37" s="255" t="s">
        <v>29</v>
      </c>
      <c r="I37" s="256">
        <v>10.0</v>
      </c>
      <c r="J37" s="257" t="s">
        <v>384</v>
      </c>
      <c r="K37" s="257" t="s">
        <v>71</v>
      </c>
      <c r="L37" s="258">
        <v>6.0</v>
      </c>
    </row>
    <row r="38">
      <c r="A38" s="251" t="s">
        <v>172</v>
      </c>
      <c r="B38" s="251" t="s">
        <v>155</v>
      </c>
      <c r="C38" s="252">
        <v>2.0</v>
      </c>
      <c r="D38" s="253" t="s">
        <v>146</v>
      </c>
      <c r="E38" s="253" t="s">
        <v>91</v>
      </c>
      <c r="F38" s="254">
        <v>28.0</v>
      </c>
      <c r="G38" s="255" t="s">
        <v>385</v>
      </c>
      <c r="H38" s="255" t="s">
        <v>214</v>
      </c>
      <c r="I38" s="256">
        <v>15.0</v>
      </c>
      <c r="J38" s="257" t="s">
        <v>96</v>
      </c>
      <c r="K38" s="257" t="s">
        <v>31</v>
      </c>
      <c r="L38" s="258">
        <v>6.0</v>
      </c>
    </row>
    <row r="39">
      <c r="A39" s="251" t="s">
        <v>103</v>
      </c>
      <c r="B39" s="251" t="s">
        <v>98</v>
      </c>
      <c r="C39" s="252">
        <v>35.0</v>
      </c>
      <c r="D39" s="253" t="s">
        <v>205</v>
      </c>
      <c r="E39" s="253" t="s">
        <v>105</v>
      </c>
      <c r="F39" s="254">
        <v>37.0</v>
      </c>
      <c r="G39" s="255" t="s">
        <v>154</v>
      </c>
      <c r="H39" s="255" t="s">
        <v>155</v>
      </c>
      <c r="I39" s="256">
        <v>32.0</v>
      </c>
      <c r="J39" s="257" t="s">
        <v>101</v>
      </c>
      <c r="K39" s="257" t="s">
        <v>52</v>
      </c>
      <c r="L39" s="258">
        <v>23.0</v>
      </c>
    </row>
    <row r="40">
      <c r="A40" s="251" t="s">
        <v>386</v>
      </c>
      <c r="B40" s="251" t="s">
        <v>329</v>
      </c>
      <c r="C40" s="252">
        <v>0.0</v>
      </c>
      <c r="D40" s="253" t="s">
        <v>277</v>
      </c>
      <c r="E40" s="253" t="s">
        <v>71</v>
      </c>
      <c r="F40" s="254">
        <v>0.0</v>
      </c>
      <c r="G40" s="255" t="s">
        <v>301</v>
      </c>
      <c r="H40" s="255" t="s">
        <v>166</v>
      </c>
      <c r="I40" s="256">
        <v>3.0</v>
      </c>
      <c r="J40" s="257" t="s">
        <v>387</v>
      </c>
      <c r="K40" s="257" t="s">
        <v>47</v>
      </c>
      <c r="L40" s="258">
        <v>1.0</v>
      </c>
    </row>
    <row r="41">
      <c r="A41" s="251" t="s">
        <v>245</v>
      </c>
      <c r="B41" s="251" t="s">
        <v>71</v>
      </c>
      <c r="C41" s="252">
        <v>1.0</v>
      </c>
      <c r="D41" s="253" t="s">
        <v>112</v>
      </c>
      <c r="E41" s="253" t="s">
        <v>6</v>
      </c>
      <c r="F41" s="254">
        <v>1.0</v>
      </c>
      <c r="G41" s="255" t="s">
        <v>388</v>
      </c>
      <c r="H41" s="255" t="s">
        <v>47</v>
      </c>
      <c r="I41" s="256">
        <v>0.0</v>
      </c>
      <c r="J41" s="257" t="s">
        <v>278</v>
      </c>
      <c r="K41" s="257" t="s">
        <v>71</v>
      </c>
      <c r="L41" s="258">
        <v>1.0</v>
      </c>
    </row>
    <row r="42">
      <c r="A42" s="251" t="s">
        <v>164</v>
      </c>
      <c r="B42" s="251" t="s">
        <v>17</v>
      </c>
      <c r="C42" s="252">
        <v>2.0</v>
      </c>
      <c r="D42" s="253" t="s">
        <v>389</v>
      </c>
      <c r="E42" s="253" t="s">
        <v>23</v>
      </c>
      <c r="F42" s="254">
        <v>5.0</v>
      </c>
      <c r="G42" s="255" t="s">
        <v>168</v>
      </c>
      <c r="H42" s="255" t="s">
        <v>54</v>
      </c>
      <c r="I42" s="256">
        <v>1.0</v>
      </c>
      <c r="J42" s="257" t="s">
        <v>390</v>
      </c>
      <c r="K42" s="257" t="s">
        <v>79</v>
      </c>
      <c r="L42" s="258">
        <v>5.0</v>
      </c>
    </row>
    <row r="43">
      <c r="A43" s="251" t="s">
        <v>222</v>
      </c>
      <c r="B43" s="251" t="s">
        <v>155</v>
      </c>
      <c r="C43" s="252">
        <v>1.0</v>
      </c>
      <c r="D43" s="253" t="s">
        <v>391</v>
      </c>
      <c r="E43" s="253" t="s">
        <v>23</v>
      </c>
      <c r="F43" s="254">
        <v>0.0</v>
      </c>
      <c r="G43" s="255" t="s">
        <v>120</v>
      </c>
      <c r="H43" s="255" t="s">
        <v>121</v>
      </c>
      <c r="I43" s="256">
        <v>2.0</v>
      </c>
      <c r="J43" s="257" t="s">
        <v>127</v>
      </c>
      <c r="K43" s="257" t="s">
        <v>59</v>
      </c>
      <c r="L43" s="258">
        <v>0.0</v>
      </c>
    </row>
    <row r="44">
      <c r="A44" s="251" t="s">
        <v>306</v>
      </c>
      <c r="B44" s="251" t="s">
        <v>29</v>
      </c>
      <c r="C44" s="252">
        <v>1.0</v>
      </c>
      <c r="D44" s="253" t="s">
        <v>69</v>
      </c>
      <c r="E44" s="253" t="s">
        <v>50</v>
      </c>
      <c r="F44" s="254">
        <v>1.0</v>
      </c>
      <c r="G44" s="255" t="s">
        <v>392</v>
      </c>
      <c r="H44" s="255" t="s">
        <v>153</v>
      </c>
      <c r="I44" s="256">
        <v>-1.0</v>
      </c>
      <c r="J44" s="257" t="s">
        <v>393</v>
      </c>
      <c r="K44" s="257" t="s">
        <v>155</v>
      </c>
      <c r="L44" s="258">
        <v>0.0</v>
      </c>
    </row>
  </sheetData>
  <conditionalFormatting sqref="A1:C44 D1:F22 G1:I33 J23:L44 D34:F44">
    <cfRule type="endsWith" dxfId="0" priority="1" operator="endsWith" text=" ">
      <formula>RIGHT((A1),LEN(" "))=(" 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5.13"/>
    <col customWidth="1" min="4" max="4" width="25.13"/>
    <col customWidth="1" min="5" max="6" width="5.13"/>
    <col customWidth="1" min="7" max="7" width="25.13"/>
    <col customWidth="1" min="8" max="9" width="5.13"/>
    <col customWidth="1" min="10" max="10" width="25.13"/>
    <col customWidth="1" min="11" max="12" width="5.13"/>
  </cols>
  <sheetData>
    <row r="1">
      <c r="A1" s="259" t="s">
        <v>394</v>
      </c>
      <c r="B1" s="260" t="s">
        <v>1</v>
      </c>
      <c r="C1" s="261">
        <f>SUM(C2:C11)</f>
        <v>95</v>
      </c>
      <c r="D1" s="262" t="s">
        <v>395</v>
      </c>
      <c r="E1" s="262" t="s">
        <v>1</v>
      </c>
      <c r="F1" s="263">
        <f>SUM(F2:F11)</f>
        <v>95</v>
      </c>
      <c r="G1" s="264" t="s">
        <v>396</v>
      </c>
      <c r="H1" s="264" t="s">
        <v>1</v>
      </c>
      <c r="I1" s="265">
        <f>SUM(I2:I11)</f>
        <v>95</v>
      </c>
      <c r="J1" s="266" t="s">
        <v>397</v>
      </c>
      <c r="K1" s="267" t="s">
        <v>1</v>
      </c>
      <c r="L1" s="268">
        <f>SUM(L2:L11)</f>
        <v>95</v>
      </c>
    </row>
    <row r="2">
      <c r="A2" s="269" t="s">
        <v>133</v>
      </c>
      <c r="B2" s="269" t="s">
        <v>84</v>
      </c>
      <c r="C2" s="270">
        <v>37.0</v>
      </c>
      <c r="D2" s="271" t="s">
        <v>160</v>
      </c>
      <c r="E2" s="271" t="s">
        <v>6</v>
      </c>
      <c r="F2" s="272">
        <v>4.0</v>
      </c>
      <c r="G2" s="273" t="s">
        <v>264</v>
      </c>
      <c r="H2" s="273" t="s">
        <v>52</v>
      </c>
      <c r="I2" s="274">
        <v>16.0</v>
      </c>
      <c r="J2" s="275" t="s">
        <v>106</v>
      </c>
      <c r="K2" s="275" t="s">
        <v>66</v>
      </c>
      <c r="L2" s="276">
        <v>3.0</v>
      </c>
    </row>
    <row r="3">
      <c r="A3" s="269" t="s">
        <v>136</v>
      </c>
      <c r="B3" s="269" t="s">
        <v>59</v>
      </c>
      <c r="C3" s="270">
        <v>9.0</v>
      </c>
      <c r="D3" s="271" t="s">
        <v>9</v>
      </c>
      <c r="E3" s="271" t="s">
        <v>10</v>
      </c>
      <c r="F3" s="272">
        <v>45.0</v>
      </c>
      <c r="G3" s="273" t="s">
        <v>26</v>
      </c>
      <c r="H3" s="273" t="s">
        <v>8</v>
      </c>
      <c r="I3" s="274">
        <v>18.0</v>
      </c>
      <c r="J3" s="275" t="s">
        <v>190</v>
      </c>
      <c r="K3" s="275" t="s">
        <v>66</v>
      </c>
      <c r="L3" s="276">
        <v>22.0</v>
      </c>
    </row>
    <row r="4">
      <c r="A4" s="269" t="s">
        <v>398</v>
      </c>
      <c r="B4" s="269" t="s">
        <v>95</v>
      </c>
      <c r="C4" s="270">
        <v>5.0</v>
      </c>
      <c r="D4" s="271" t="s">
        <v>358</v>
      </c>
      <c r="E4" s="271" t="s">
        <v>185</v>
      </c>
      <c r="F4" s="272">
        <v>6.0</v>
      </c>
      <c r="G4" s="273" t="s">
        <v>11</v>
      </c>
      <c r="H4" s="273" t="s">
        <v>12</v>
      </c>
      <c r="I4" s="274">
        <v>42.0</v>
      </c>
      <c r="J4" s="275" t="s">
        <v>399</v>
      </c>
      <c r="K4" s="275" t="s">
        <v>40</v>
      </c>
      <c r="L4" s="276">
        <v>24.0</v>
      </c>
    </row>
    <row r="5">
      <c r="A5" s="269" t="s">
        <v>274</v>
      </c>
      <c r="B5" s="269" t="s">
        <v>275</v>
      </c>
      <c r="C5" s="270">
        <v>12.0</v>
      </c>
      <c r="D5" s="271" t="s">
        <v>318</v>
      </c>
      <c r="E5" s="271" t="s">
        <v>214</v>
      </c>
      <c r="F5" s="272">
        <v>5.0</v>
      </c>
      <c r="G5" s="273" t="s">
        <v>385</v>
      </c>
      <c r="H5" s="273" t="s">
        <v>214</v>
      </c>
      <c r="I5" s="274">
        <v>12.0</v>
      </c>
      <c r="J5" s="275" t="s">
        <v>28</v>
      </c>
      <c r="K5" s="275" t="s">
        <v>29</v>
      </c>
      <c r="L5" s="276">
        <v>38.0</v>
      </c>
    </row>
    <row r="6">
      <c r="A6" s="269" t="s">
        <v>201</v>
      </c>
      <c r="B6" s="269" t="s">
        <v>52</v>
      </c>
      <c r="C6" s="270">
        <v>28.0</v>
      </c>
      <c r="D6" s="271" t="s">
        <v>152</v>
      </c>
      <c r="E6" s="271" t="s">
        <v>98</v>
      </c>
      <c r="F6" s="272">
        <v>28.0</v>
      </c>
      <c r="G6" s="273" t="s">
        <v>96</v>
      </c>
      <c r="H6" s="273" t="s">
        <v>31</v>
      </c>
      <c r="I6" s="274">
        <v>4.0</v>
      </c>
      <c r="J6" s="275" t="s">
        <v>400</v>
      </c>
      <c r="K6" s="275" t="s">
        <v>56</v>
      </c>
      <c r="L6" s="276">
        <v>4.0</v>
      </c>
    </row>
    <row r="7">
      <c r="A7" s="269" t="s">
        <v>206</v>
      </c>
      <c r="B7" s="269" t="s">
        <v>8</v>
      </c>
      <c r="C7" s="270">
        <v>1.0</v>
      </c>
      <c r="D7" s="271" t="s">
        <v>107</v>
      </c>
      <c r="E7" s="271" t="s">
        <v>29</v>
      </c>
      <c r="F7" s="272">
        <v>0.0</v>
      </c>
      <c r="G7" s="273" t="s">
        <v>386</v>
      </c>
      <c r="H7" s="273" t="s">
        <v>329</v>
      </c>
      <c r="I7" s="274">
        <v>0.0</v>
      </c>
      <c r="J7" s="275" t="s">
        <v>401</v>
      </c>
      <c r="K7" s="275" t="s">
        <v>59</v>
      </c>
      <c r="L7" s="276">
        <v>-1.0</v>
      </c>
    </row>
    <row r="8">
      <c r="A8" s="269" t="s">
        <v>402</v>
      </c>
      <c r="B8" s="269" t="s">
        <v>56</v>
      </c>
      <c r="C8" s="270">
        <v>0.0</v>
      </c>
      <c r="D8" s="271" t="s">
        <v>161</v>
      </c>
      <c r="E8" s="271" t="s">
        <v>93</v>
      </c>
      <c r="F8" s="272">
        <v>1.0</v>
      </c>
      <c r="G8" s="273" t="s">
        <v>344</v>
      </c>
      <c r="H8" s="273" t="s">
        <v>25</v>
      </c>
      <c r="I8" s="274">
        <v>1.0</v>
      </c>
      <c r="J8" s="275" t="s">
        <v>403</v>
      </c>
      <c r="K8" s="275" t="s">
        <v>79</v>
      </c>
      <c r="L8" s="276">
        <v>0.0</v>
      </c>
    </row>
    <row r="9">
      <c r="A9" s="269" t="s">
        <v>165</v>
      </c>
      <c r="B9" s="269" t="s">
        <v>166</v>
      </c>
      <c r="C9" s="270">
        <v>1.0</v>
      </c>
      <c r="D9" s="271" t="s">
        <v>317</v>
      </c>
      <c r="E9" s="271" t="s">
        <v>225</v>
      </c>
      <c r="F9" s="272">
        <v>2.0</v>
      </c>
      <c r="G9" s="273" t="s">
        <v>404</v>
      </c>
      <c r="H9" s="273" t="s">
        <v>71</v>
      </c>
      <c r="I9" s="274">
        <v>-1.0</v>
      </c>
      <c r="J9" s="275" t="s">
        <v>405</v>
      </c>
      <c r="K9" s="275" t="s">
        <v>31</v>
      </c>
      <c r="L9" s="276">
        <v>1.0</v>
      </c>
    </row>
    <row r="10">
      <c r="A10" s="269" t="s">
        <v>69</v>
      </c>
      <c r="B10" s="269" t="s">
        <v>50</v>
      </c>
      <c r="C10" s="270">
        <v>2.0</v>
      </c>
      <c r="D10" s="271" t="s">
        <v>27</v>
      </c>
      <c r="E10" s="271" t="s">
        <v>23</v>
      </c>
      <c r="F10" s="272">
        <v>3.0</v>
      </c>
      <c r="G10" s="273" t="s">
        <v>224</v>
      </c>
      <c r="H10" s="273" t="s">
        <v>225</v>
      </c>
      <c r="I10" s="274">
        <v>2.0</v>
      </c>
      <c r="J10" s="275" t="s">
        <v>63</v>
      </c>
      <c r="K10" s="275" t="s">
        <v>64</v>
      </c>
      <c r="L10" s="276">
        <v>1.0</v>
      </c>
    </row>
    <row r="11">
      <c r="A11" s="269" t="s">
        <v>406</v>
      </c>
      <c r="B11" s="269" t="s">
        <v>98</v>
      </c>
      <c r="C11" s="270">
        <v>0.0</v>
      </c>
      <c r="D11" s="271" t="s">
        <v>125</v>
      </c>
      <c r="E11" s="271" t="s">
        <v>29</v>
      </c>
      <c r="F11" s="272">
        <v>1.0</v>
      </c>
      <c r="G11" s="273" t="s">
        <v>126</v>
      </c>
      <c r="H11" s="273" t="s">
        <v>59</v>
      </c>
      <c r="I11" s="274">
        <v>1.0</v>
      </c>
      <c r="J11" s="275" t="s">
        <v>177</v>
      </c>
      <c r="K11" s="275" t="s">
        <v>29</v>
      </c>
      <c r="L11" s="276">
        <v>3.0</v>
      </c>
    </row>
    <row r="12">
      <c r="A12" s="277" t="s">
        <v>407</v>
      </c>
      <c r="B12" s="277" t="s">
        <v>1</v>
      </c>
      <c r="C12" s="278">
        <f>SUM(C13:C22)</f>
        <v>94</v>
      </c>
      <c r="D12" s="279" t="s">
        <v>408</v>
      </c>
      <c r="E12" s="279" t="s">
        <v>1</v>
      </c>
      <c r="F12" s="280">
        <f>SUM(F13:F22)</f>
        <v>94</v>
      </c>
      <c r="G12" s="281" t="s">
        <v>409</v>
      </c>
      <c r="H12" s="281" t="s">
        <v>1</v>
      </c>
      <c r="I12" s="282">
        <f>SUM(I13:I22)</f>
        <v>95</v>
      </c>
      <c r="J12" s="283" t="s">
        <v>410</v>
      </c>
      <c r="K12" s="284" t="s">
        <v>1</v>
      </c>
      <c r="L12" s="285">
        <f>SUM(L13:L22)</f>
        <v>95</v>
      </c>
    </row>
    <row r="13">
      <c r="A13" s="286" t="s">
        <v>77</v>
      </c>
      <c r="B13" s="286" t="s">
        <v>8</v>
      </c>
      <c r="C13" s="287">
        <v>11.0</v>
      </c>
      <c r="D13" s="288" t="s">
        <v>5</v>
      </c>
      <c r="E13" s="288" t="s">
        <v>6</v>
      </c>
      <c r="F13" s="289">
        <v>31.0</v>
      </c>
      <c r="G13" s="290" t="s">
        <v>134</v>
      </c>
      <c r="H13" s="290" t="s">
        <v>135</v>
      </c>
      <c r="I13" s="291">
        <v>36.0</v>
      </c>
      <c r="J13" s="292" t="s">
        <v>382</v>
      </c>
      <c r="K13" s="292" t="s">
        <v>275</v>
      </c>
      <c r="L13" s="293">
        <v>6.0</v>
      </c>
    </row>
    <row r="14">
      <c r="A14" s="286" t="s">
        <v>193</v>
      </c>
      <c r="B14" s="286" t="s">
        <v>50</v>
      </c>
      <c r="C14" s="287">
        <v>7.0</v>
      </c>
      <c r="D14" s="294" t="s">
        <v>88</v>
      </c>
      <c r="E14" s="295" t="s">
        <v>50</v>
      </c>
      <c r="F14" s="296">
        <v>11.0</v>
      </c>
      <c r="G14" s="297" t="s">
        <v>87</v>
      </c>
      <c r="H14" s="297" t="s">
        <v>17</v>
      </c>
      <c r="I14" s="298">
        <v>25.0</v>
      </c>
      <c r="J14" s="292" t="s">
        <v>240</v>
      </c>
      <c r="K14" s="292" t="s">
        <v>148</v>
      </c>
      <c r="L14" s="293">
        <v>9.0</v>
      </c>
    </row>
    <row r="15">
      <c r="A15" s="286" t="s">
        <v>20</v>
      </c>
      <c r="B15" s="286" t="s">
        <v>21</v>
      </c>
      <c r="C15" s="299">
        <v>38.0</v>
      </c>
      <c r="D15" s="294" t="s">
        <v>384</v>
      </c>
      <c r="E15" s="294" t="s">
        <v>52</v>
      </c>
      <c r="F15" s="296">
        <v>6.0</v>
      </c>
      <c r="G15" s="297" t="s">
        <v>268</v>
      </c>
      <c r="H15" s="297" t="s">
        <v>31</v>
      </c>
      <c r="I15" s="298">
        <v>8.0</v>
      </c>
      <c r="J15" s="292" t="s">
        <v>89</v>
      </c>
      <c r="K15" s="292" t="s">
        <v>8</v>
      </c>
      <c r="L15" s="293">
        <v>34.0</v>
      </c>
    </row>
    <row r="16">
      <c r="A16" s="286" t="s">
        <v>146</v>
      </c>
      <c r="B16" s="286" t="s">
        <v>91</v>
      </c>
      <c r="C16" s="287">
        <v>25.0</v>
      </c>
      <c r="D16" s="294" t="s">
        <v>411</v>
      </c>
      <c r="E16" s="294" t="s">
        <v>71</v>
      </c>
      <c r="F16" s="296">
        <v>28.0</v>
      </c>
      <c r="G16" s="297" t="s">
        <v>412</v>
      </c>
      <c r="H16" s="297" t="s">
        <v>91</v>
      </c>
      <c r="I16" s="298">
        <v>6.0</v>
      </c>
      <c r="J16" s="292" t="s">
        <v>413</v>
      </c>
      <c r="K16" s="292" t="s">
        <v>84</v>
      </c>
      <c r="L16" s="293">
        <v>21.0</v>
      </c>
    </row>
    <row r="17">
      <c r="A17" s="286" t="s">
        <v>341</v>
      </c>
      <c r="B17" s="286" t="s">
        <v>332</v>
      </c>
      <c r="C17" s="287">
        <v>4.0</v>
      </c>
      <c r="D17" s="294" t="s">
        <v>35</v>
      </c>
      <c r="E17" s="294" t="s">
        <v>36</v>
      </c>
      <c r="F17" s="296">
        <v>14.0</v>
      </c>
      <c r="G17" s="297" t="s">
        <v>33</v>
      </c>
      <c r="H17" s="297" t="s">
        <v>34</v>
      </c>
      <c r="I17" s="298">
        <v>15.0</v>
      </c>
      <c r="J17" s="292" t="s">
        <v>32</v>
      </c>
      <c r="K17" s="292" t="s">
        <v>25</v>
      </c>
      <c r="L17" s="293">
        <v>20.0</v>
      </c>
    </row>
    <row r="18">
      <c r="A18" s="286" t="s">
        <v>209</v>
      </c>
      <c r="B18" s="286" t="s">
        <v>52</v>
      </c>
      <c r="C18" s="287">
        <v>2.0</v>
      </c>
      <c r="D18" s="288" t="s">
        <v>39</v>
      </c>
      <c r="E18" s="288" t="s">
        <v>40</v>
      </c>
      <c r="F18" s="289">
        <v>0.0</v>
      </c>
      <c r="G18" s="290" t="s">
        <v>44</v>
      </c>
      <c r="H18" s="290" t="s">
        <v>45</v>
      </c>
      <c r="I18" s="291">
        <v>1.0</v>
      </c>
      <c r="J18" s="292" t="s">
        <v>244</v>
      </c>
      <c r="K18" s="292" t="s">
        <v>135</v>
      </c>
      <c r="L18" s="293">
        <v>2.0</v>
      </c>
    </row>
    <row r="19">
      <c r="A19" s="286" t="s">
        <v>18</v>
      </c>
      <c r="B19" s="286" t="s">
        <v>19</v>
      </c>
      <c r="C19" s="287">
        <v>6.0</v>
      </c>
      <c r="D19" s="294" t="s">
        <v>246</v>
      </c>
      <c r="E19" s="294" t="s">
        <v>42</v>
      </c>
      <c r="F19" s="296">
        <v>1.0</v>
      </c>
      <c r="G19" s="297" t="s">
        <v>414</v>
      </c>
      <c r="H19" s="297" t="s">
        <v>135</v>
      </c>
      <c r="I19" s="298">
        <v>2.0</v>
      </c>
      <c r="J19" s="292" t="s">
        <v>415</v>
      </c>
      <c r="K19" s="292" t="s">
        <v>329</v>
      </c>
      <c r="L19" s="293">
        <v>-1.0</v>
      </c>
    </row>
    <row r="20">
      <c r="A20" s="286" t="s">
        <v>219</v>
      </c>
      <c r="B20" s="286" t="s">
        <v>212</v>
      </c>
      <c r="C20" s="287">
        <v>3.0</v>
      </c>
      <c r="D20" s="294" t="s">
        <v>337</v>
      </c>
      <c r="E20" s="294" t="s">
        <v>153</v>
      </c>
      <c r="F20" s="296">
        <v>2.0</v>
      </c>
      <c r="G20" s="297" t="s">
        <v>57</v>
      </c>
      <c r="H20" s="297" t="s">
        <v>23</v>
      </c>
      <c r="I20" s="298">
        <v>1.0</v>
      </c>
      <c r="J20" s="300" t="s">
        <v>164</v>
      </c>
      <c r="K20" s="300" t="s">
        <v>17</v>
      </c>
      <c r="L20" s="301">
        <v>3.0</v>
      </c>
    </row>
    <row r="21">
      <c r="A21" s="286" t="s">
        <v>416</v>
      </c>
      <c r="B21" s="286" t="s">
        <v>135</v>
      </c>
      <c r="C21" s="287">
        <v>-1.0</v>
      </c>
      <c r="D21" s="294" t="s">
        <v>222</v>
      </c>
      <c r="E21" s="294" t="s">
        <v>155</v>
      </c>
      <c r="F21" s="296">
        <v>1.0</v>
      </c>
      <c r="G21" s="297" t="s">
        <v>217</v>
      </c>
      <c r="H21" s="297" t="s">
        <v>93</v>
      </c>
      <c r="I21" s="298">
        <v>0.0</v>
      </c>
      <c r="J21" s="292" t="s">
        <v>417</v>
      </c>
      <c r="K21" s="292" t="s">
        <v>66</v>
      </c>
      <c r="L21" s="293">
        <v>-1.0</v>
      </c>
    </row>
    <row r="22">
      <c r="A22" s="286" t="s">
        <v>418</v>
      </c>
      <c r="B22" s="286" t="s">
        <v>31</v>
      </c>
      <c r="C22" s="287">
        <v>-1.0</v>
      </c>
      <c r="D22" s="294" t="s">
        <v>419</v>
      </c>
      <c r="E22" s="294" t="s">
        <v>19</v>
      </c>
      <c r="F22" s="296">
        <v>0.0</v>
      </c>
      <c r="G22" s="297" t="s">
        <v>72</v>
      </c>
      <c r="H22" s="297" t="s">
        <v>47</v>
      </c>
      <c r="I22" s="298">
        <v>1.0</v>
      </c>
      <c r="J22" s="292" t="s">
        <v>175</v>
      </c>
      <c r="K22" s="292" t="s">
        <v>176</v>
      </c>
      <c r="L22" s="293">
        <v>2.0</v>
      </c>
    </row>
    <row r="23">
      <c r="A23" s="302" t="s">
        <v>420</v>
      </c>
      <c r="B23" s="302" t="s">
        <v>1</v>
      </c>
      <c r="C23" s="303">
        <f>SUM(C24:C33)</f>
        <v>95</v>
      </c>
      <c r="D23" s="304" t="s">
        <v>421</v>
      </c>
      <c r="E23" s="305" t="s">
        <v>1</v>
      </c>
      <c r="F23" s="306">
        <f>SUM(F24:F33)</f>
        <v>95</v>
      </c>
      <c r="G23" s="307" t="s">
        <v>422</v>
      </c>
      <c r="H23" s="307" t="s">
        <v>1</v>
      </c>
      <c r="I23" s="308">
        <f>SUM(I24:I33)</f>
        <v>95</v>
      </c>
      <c r="J23" s="309" t="s">
        <v>423</v>
      </c>
      <c r="K23" s="309" t="s">
        <v>1</v>
      </c>
      <c r="L23" s="310">
        <f>SUM(L24:L33)</f>
        <v>95</v>
      </c>
    </row>
    <row r="24">
      <c r="A24" s="311" t="s">
        <v>82</v>
      </c>
      <c r="B24" s="311" t="s">
        <v>8</v>
      </c>
      <c r="C24" s="312">
        <v>12.0</v>
      </c>
      <c r="D24" s="313" t="s">
        <v>265</v>
      </c>
      <c r="E24" s="313" t="s">
        <v>91</v>
      </c>
      <c r="F24" s="314">
        <v>24.0</v>
      </c>
      <c r="G24" s="315" t="s">
        <v>14</v>
      </c>
      <c r="H24" s="315" t="s">
        <v>15</v>
      </c>
      <c r="I24" s="316">
        <v>36.0</v>
      </c>
      <c r="J24" s="317" t="s">
        <v>313</v>
      </c>
      <c r="K24" s="317" t="s">
        <v>86</v>
      </c>
      <c r="L24" s="318">
        <v>11.0</v>
      </c>
    </row>
    <row r="25">
      <c r="A25" s="311" t="s">
        <v>269</v>
      </c>
      <c r="B25" s="311" t="s">
        <v>31</v>
      </c>
      <c r="C25" s="312">
        <v>14.0</v>
      </c>
      <c r="D25" s="319" t="s">
        <v>138</v>
      </c>
      <c r="E25" s="319" t="s">
        <v>19</v>
      </c>
      <c r="F25" s="320">
        <v>2.0</v>
      </c>
      <c r="G25" s="315" t="s">
        <v>49</v>
      </c>
      <c r="H25" s="321" t="s">
        <v>50</v>
      </c>
      <c r="I25" s="316">
        <v>2.0</v>
      </c>
      <c r="J25" s="317" t="s">
        <v>85</v>
      </c>
      <c r="K25" s="317" t="s">
        <v>225</v>
      </c>
      <c r="L25" s="318">
        <v>33.0</v>
      </c>
    </row>
    <row r="26">
      <c r="A26" s="311" t="s">
        <v>293</v>
      </c>
      <c r="B26" s="311" t="s">
        <v>68</v>
      </c>
      <c r="C26" s="312">
        <v>10.0</v>
      </c>
      <c r="D26" s="313" t="s">
        <v>191</v>
      </c>
      <c r="E26" s="313" t="s">
        <v>86</v>
      </c>
      <c r="F26" s="314">
        <v>30.0</v>
      </c>
      <c r="G26" s="315" t="s">
        <v>338</v>
      </c>
      <c r="H26" s="321" t="s">
        <v>214</v>
      </c>
      <c r="I26" s="316">
        <v>19.0</v>
      </c>
      <c r="J26" s="317" t="s">
        <v>100</v>
      </c>
      <c r="K26" s="317" t="s">
        <v>8</v>
      </c>
      <c r="L26" s="318">
        <v>35.0</v>
      </c>
    </row>
    <row r="27">
      <c r="A27" s="311" t="s">
        <v>194</v>
      </c>
      <c r="B27" s="311" t="s">
        <v>29</v>
      </c>
      <c r="C27" s="312">
        <v>11.0</v>
      </c>
      <c r="D27" s="313" t="s">
        <v>149</v>
      </c>
      <c r="E27" s="313" t="s">
        <v>29</v>
      </c>
      <c r="F27" s="314">
        <v>12.0</v>
      </c>
      <c r="G27" s="315" t="s">
        <v>22</v>
      </c>
      <c r="H27" s="321" t="s">
        <v>23</v>
      </c>
      <c r="I27" s="316">
        <v>3.0</v>
      </c>
      <c r="J27" s="317" t="s">
        <v>319</v>
      </c>
      <c r="K27" s="317" t="s">
        <v>31</v>
      </c>
      <c r="L27" s="318">
        <v>8.0</v>
      </c>
    </row>
    <row r="28">
      <c r="A28" s="311" t="s">
        <v>156</v>
      </c>
      <c r="B28" s="311" t="s">
        <v>17</v>
      </c>
      <c r="C28" s="312">
        <v>36.0</v>
      </c>
      <c r="D28" s="313" t="s">
        <v>101</v>
      </c>
      <c r="E28" s="313" t="s">
        <v>50</v>
      </c>
      <c r="F28" s="314">
        <v>22.0</v>
      </c>
      <c r="G28" s="315" t="s">
        <v>103</v>
      </c>
      <c r="H28" s="315" t="s">
        <v>98</v>
      </c>
      <c r="I28" s="316">
        <v>32.0</v>
      </c>
      <c r="J28" s="317" t="s">
        <v>350</v>
      </c>
      <c r="K28" s="317" t="s">
        <v>135</v>
      </c>
      <c r="L28" s="318">
        <v>5.0</v>
      </c>
    </row>
    <row r="29">
      <c r="A29" s="311" t="s">
        <v>320</v>
      </c>
      <c r="B29" s="311" t="s">
        <v>6</v>
      </c>
      <c r="C29" s="312">
        <v>4.0</v>
      </c>
      <c r="D29" s="313" t="s">
        <v>424</v>
      </c>
      <c r="E29" s="313" t="s">
        <v>71</v>
      </c>
      <c r="F29" s="314">
        <v>1.0</v>
      </c>
      <c r="G29" s="322" t="s">
        <v>243</v>
      </c>
      <c r="H29" s="322" t="s">
        <v>8</v>
      </c>
      <c r="I29" s="323">
        <v>2.0</v>
      </c>
      <c r="J29" s="317" t="s">
        <v>277</v>
      </c>
      <c r="K29" s="317" t="s">
        <v>71</v>
      </c>
      <c r="L29" s="318">
        <v>1.0</v>
      </c>
    </row>
    <row r="30">
      <c r="A30" s="311" t="s">
        <v>295</v>
      </c>
      <c r="B30" s="311" t="s">
        <v>86</v>
      </c>
      <c r="C30" s="312">
        <v>3.0</v>
      </c>
      <c r="D30" s="313" t="s">
        <v>425</v>
      </c>
      <c r="E30" s="313" t="s">
        <v>98</v>
      </c>
      <c r="F30" s="314">
        <v>-1.0</v>
      </c>
      <c r="G30" s="315" t="s">
        <v>426</v>
      </c>
      <c r="H30" s="321" t="s">
        <v>86</v>
      </c>
      <c r="I30" s="316">
        <v>0.0</v>
      </c>
      <c r="J30" s="317" t="s">
        <v>302</v>
      </c>
      <c r="K30" s="317" t="s">
        <v>45</v>
      </c>
      <c r="L30" s="318">
        <v>1.0</v>
      </c>
    </row>
    <row r="31">
      <c r="A31" s="311" t="s">
        <v>142</v>
      </c>
      <c r="B31" s="311" t="s">
        <v>143</v>
      </c>
      <c r="C31" s="312">
        <v>2.0</v>
      </c>
      <c r="D31" s="313" t="s">
        <v>168</v>
      </c>
      <c r="E31" s="313" t="s">
        <v>54</v>
      </c>
      <c r="F31" s="314">
        <v>1.0</v>
      </c>
      <c r="G31" s="315" t="s">
        <v>427</v>
      </c>
      <c r="H31" s="321" t="s">
        <v>155</v>
      </c>
      <c r="I31" s="316">
        <v>0.0</v>
      </c>
      <c r="J31" s="317" t="s">
        <v>428</v>
      </c>
      <c r="K31" s="317" t="s">
        <v>71</v>
      </c>
      <c r="L31" s="318">
        <v>0.0</v>
      </c>
    </row>
    <row r="32">
      <c r="A32" s="311" t="s">
        <v>429</v>
      </c>
      <c r="B32" s="311" t="s">
        <v>105</v>
      </c>
      <c r="C32" s="312">
        <v>2.0</v>
      </c>
      <c r="D32" s="313" t="s">
        <v>430</v>
      </c>
      <c r="E32" s="313" t="s">
        <v>52</v>
      </c>
      <c r="F32" s="314">
        <v>1.0</v>
      </c>
      <c r="G32" s="315" t="s">
        <v>431</v>
      </c>
      <c r="H32" s="321" t="s">
        <v>95</v>
      </c>
      <c r="I32" s="316">
        <v>-1.0</v>
      </c>
      <c r="J32" s="317" t="s">
        <v>127</v>
      </c>
      <c r="K32" s="317" t="s">
        <v>59</v>
      </c>
      <c r="L32" s="318">
        <v>1.0</v>
      </c>
    </row>
    <row r="33">
      <c r="A33" s="311" t="s">
        <v>258</v>
      </c>
      <c r="B33" s="311" t="s">
        <v>95</v>
      </c>
      <c r="C33" s="312">
        <v>1.0</v>
      </c>
      <c r="D33" s="313" t="s">
        <v>30</v>
      </c>
      <c r="E33" s="313" t="s">
        <v>71</v>
      </c>
      <c r="F33" s="320">
        <v>3.0</v>
      </c>
      <c r="G33" s="315" t="s">
        <v>230</v>
      </c>
      <c r="H33" s="315" t="s">
        <v>52</v>
      </c>
      <c r="I33" s="316">
        <v>2.0</v>
      </c>
      <c r="J33" s="317" t="s">
        <v>328</v>
      </c>
      <c r="K33" s="317" t="s">
        <v>329</v>
      </c>
      <c r="L33" s="318">
        <v>0.0</v>
      </c>
    </row>
    <row r="34">
      <c r="A34" s="324" t="s">
        <v>432</v>
      </c>
      <c r="B34" s="324" t="s">
        <v>1</v>
      </c>
      <c r="C34" s="325">
        <f>SUM(C35:C44)</f>
        <v>95</v>
      </c>
      <c r="D34" s="326" t="s">
        <v>433</v>
      </c>
      <c r="E34" s="326" t="s">
        <v>1</v>
      </c>
      <c r="F34" s="327">
        <f>SUM(F35:F44)</f>
        <v>95</v>
      </c>
      <c r="G34" s="328" t="s">
        <v>434</v>
      </c>
      <c r="H34" s="329" t="s">
        <v>1</v>
      </c>
      <c r="I34" s="330">
        <f>SUM(I35:I44)</f>
        <v>95</v>
      </c>
      <c r="J34" s="331" t="s">
        <v>435</v>
      </c>
      <c r="K34" s="331" t="s">
        <v>1</v>
      </c>
      <c r="L34" s="332">
        <f>SUM(L35:L44)</f>
        <v>95</v>
      </c>
    </row>
    <row r="35">
      <c r="A35" s="56" t="s">
        <v>188</v>
      </c>
      <c r="B35" s="56" t="s">
        <v>19</v>
      </c>
      <c r="C35" s="333">
        <v>30.0</v>
      </c>
      <c r="D35" s="334" t="s">
        <v>159</v>
      </c>
      <c r="E35" s="334" t="s">
        <v>8</v>
      </c>
      <c r="F35" s="335">
        <v>2.0</v>
      </c>
      <c r="G35" s="336" t="s">
        <v>292</v>
      </c>
      <c r="H35" s="336" t="s">
        <v>116</v>
      </c>
      <c r="I35" s="337">
        <v>16.0</v>
      </c>
      <c r="J35" s="338" t="s">
        <v>314</v>
      </c>
      <c r="K35" s="338" t="s">
        <v>31</v>
      </c>
      <c r="L35" s="339">
        <v>28.0</v>
      </c>
    </row>
    <row r="36">
      <c r="A36" s="56" t="s">
        <v>111</v>
      </c>
      <c r="B36" s="340" t="s">
        <v>86</v>
      </c>
      <c r="C36" s="341">
        <v>5.0</v>
      </c>
      <c r="D36" s="334" t="s">
        <v>184</v>
      </c>
      <c r="E36" s="334" t="s">
        <v>185</v>
      </c>
      <c r="F36" s="335">
        <v>31.0</v>
      </c>
      <c r="G36" s="336" t="s">
        <v>389</v>
      </c>
      <c r="H36" s="336" t="s">
        <v>23</v>
      </c>
      <c r="I36" s="337">
        <v>4.0</v>
      </c>
      <c r="J36" s="338" t="s">
        <v>316</v>
      </c>
      <c r="K36" s="338" t="s">
        <v>105</v>
      </c>
      <c r="L36" s="339">
        <v>15.0</v>
      </c>
    </row>
    <row r="37">
      <c r="A37" s="56" t="s">
        <v>315</v>
      </c>
      <c r="B37" s="56" t="s">
        <v>10</v>
      </c>
      <c r="C37" s="333">
        <v>16.0</v>
      </c>
      <c r="D37" s="334" t="s">
        <v>144</v>
      </c>
      <c r="E37" s="334" t="s">
        <v>54</v>
      </c>
      <c r="F37" s="335">
        <v>4.0</v>
      </c>
      <c r="G37" s="336" t="s">
        <v>24</v>
      </c>
      <c r="H37" s="336" t="s">
        <v>25</v>
      </c>
      <c r="I37" s="337">
        <v>10.0</v>
      </c>
      <c r="J37" s="338" t="s">
        <v>339</v>
      </c>
      <c r="K37" s="338" t="s">
        <v>271</v>
      </c>
      <c r="L37" s="339">
        <v>4.0</v>
      </c>
    </row>
    <row r="38">
      <c r="A38" s="56" t="s">
        <v>195</v>
      </c>
      <c r="B38" s="56" t="s">
        <v>47</v>
      </c>
      <c r="C38" s="333">
        <v>29.0</v>
      </c>
      <c r="D38" s="334" t="s">
        <v>241</v>
      </c>
      <c r="E38" s="334" t="s">
        <v>275</v>
      </c>
      <c r="F38" s="335">
        <v>22.0</v>
      </c>
      <c r="G38" s="336" t="s">
        <v>272</v>
      </c>
      <c r="H38" s="336" t="s">
        <v>59</v>
      </c>
      <c r="I38" s="337">
        <v>22.0</v>
      </c>
      <c r="J38" s="338" t="s">
        <v>199</v>
      </c>
      <c r="K38" s="338" t="s">
        <v>95</v>
      </c>
      <c r="L38" s="339">
        <v>11.0</v>
      </c>
    </row>
    <row r="39">
      <c r="A39" s="56" t="s">
        <v>257</v>
      </c>
      <c r="B39" s="56" t="s">
        <v>40</v>
      </c>
      <c r="C39" s="333">
        <v>2.0</v>
      </c>
      <c r="D39" s="342" t="s">
        <v>198</v>
      </c>
      <c r="E39" s="342" t="s">
        <v>86</v>
      </c>
      <c r="F39" s="343">
        <v>33.0</v>
      </c>
      <c r="G39" s="336" t="s">
        <v>205</v>
      </c>
      <c r="H39" s="336" t="s">
        <v>105</v>
      </c>
      <c r="I39" s="337">
        <v>37.0</v>
      </c>
      <c r="J39" s="338" t="s">
        <v>154</v>
      </c>
      <c r="K39" s="338" t="s">
        <v>155</v>
      </c>
      <c r="L39" s="339">
        <v>30.0</v>
      </c>
    </row>
    <row r="40">
      <c r="A40" s="56" t="s">
        <v>436</v>
      </c>
      <c r="B40" s="56" t="s">
        <v>95</v>
      </c>
      <c r="C40" s="333">
        <v>-1.0</v>
      </c>
      <c r="D40" s="334" t="s">
        <v>245</v>
      </c>
      <c r="E40" s="334" t="s">
        <v>71</v>
      </c>
      <c r="F40" s="335">
        <v>1.0</v>
      </c>
      <c r="G40" s="336" t="s">
        <v>158</v>
      </c>
      <c r="H40" s="336" t="s">
        <v>71</v>
      </c>
      <c r="I40" s="337">
        <v>4.0</v>
      </c>
      <c r="J40" s="338" t="s">
        <v>207</v>
      </c>
      <c r="K40" s="338" t="s">
        <v>71</v>
      </c>
      <c r="L40" s="339">
        <v>1.0</v>
      </c>
    </row>
    <row r="41">
      <c r="A41" s="56" t="s">
        <v>370</v>
      </c>
      <c r="B41" s="56" t="s">
        <v>204</v>
      </c>
      <c r="C41" s="333">
        <v>2.0</v>
      </c>
      <c r="D41" s="334" t="s">
        <v>387</v>
      </c>
      <c r="E41" s="334" t="s">
        <v>47</v>
      </c>
      <c r="F41" s="335">
        <v>1.0</v>
      </c>
      <c r="G41" s="336" t="s">
        <v>110</v>
      </c>
      <c r="H41" s="336" t="s">
        <v>6</v>
      </c>
      <c r="I41" s="337">
        <v>1.0</v>
      </c>
      <c r="J41" s="338" t="s">
        <v>437</v>
      </c>
      <c r="K41" s="338" t="s">
        <v>143</v>
      </c>
      <c r="L41" s="339">
        <v>0.0</v>
      </c>
    </row>
    <row r="42">
      <c r="A42" s="56" t="s">
        <v>251</v>
      </c>
      <c r="B42" s="56" t="s">
        <v>214</v>
      </c>
      <c r="C42" s="333">
        <v>2.0</v>
      </c>
      <c r="D42" s="334" t="s">
        <v>372</v>
      </c>
      <c r="E42" s="334" t="s">
        <v>148</v>
      </c>
      <c r="F42" s="335">
        <v>-1.0</v>
      </c>
      <c r="G42" s="336" t="s">
        <v>117</v>
      </c>
      <c r="H42" s="336" t="s">
        <v>23</v>
      </c>
      <c r="I42" s="337">
        <v>0.0</v>
      </c>
      <c r="J42" s="338" t="s">
        <v>438</v>
      </c>
      <c r="K42" s="338" t="s">
        <v>21</v>
      </c>
      <c r="L42" s="339">
        <v>-1.0</v>
      </c>
    </row>
    <row r="43">
      <c r="A43" s="56" t="s">
        <v>296</v>
      </c>
      <c r="B43" s="56" t="s">
        <v>31</v>
      </c>
      <c r="C43" s="333">
        <v>9.0</v>
      </c>
      <c r="D43" s="334" t="s">
        <v>163</v>
      </c>
      <c r="E43" s="334" t="s">
        <v>6</v>
      </c>
      <c r="F43" s="335">
        <v>1.0</v>
      </c>
      <c r="G43" s="336" t="s">
        <v>439</v>
      </c>
      <c r="H43" s="336" t="s">
        <v>36</v>
      </c>
      <c r="I43" s="337">
        <v>1.0</v>
      </c>
      <c r="J43" s="338" t="s">
        <v>326</v>
      </c>
      <c r="K43" s="338" t="s">
        <v>204</v>
      </c>
      <c r="L43" s="339">
        <v>1.0</v>
      </c>
    </row>
    <row r="44">
      <c r="A44" s="56" t="s">
        <v>255</v>
      </c>
      <c r="B44" s="56" t="s">
        <v>116</v>
      </c>
      <c r="C44" s="333">
        <v>1.0</v>
      </c>
      <c r="D44" s="334" t="s">
        <v>306</v>
      </c>
      <c r="E44" s="334" t="s">
        <v>29</v>
      </c>
      <c r="F44" s="335">
        <v>1.0</v>
      </c>
      <c r="G44" s="336" t="s">
        <v>440</v>
      </c>
      <c r="H44" s="336" t="s">
        <v>176</v>
      </c>
      <c r="I44" s="337">
        <v>0.0</v>
      </c>
      <c r="J44" s="338" t="s">
        <v>441</v>
      </c>
      <c r="K44" s="338" t="s">
        <v>166</v>
      </c>
      <c r="L44" s="339">
        <v>6.0</v>
      </c>
    </row>
  </sheetData>
  <conditionalFormatting sqref="A1:C44 D1:F22 G1:I33 J23:L44 D34:F44">
    <cfRule type="endsWith" dxfId="0" priority="1" operator="endsWith" text=" ">
      <formula>RIGHT((A1),LEN(" "))=(" ")</formula>
    </cfRule>
  </conditionalFormatting>
  <drawing r:id="rId1"/>
</worksheet>
</file>